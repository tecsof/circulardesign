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intenance" sheetId="1" state="visible" r:id="rId1"/>
    <sheet xmlns:r="http://schemas.openxmlformats.org/officeDocument/2006/relationships" name="Reuse" sheetId="2" state="visible" r:id="rId2"/>
    <sheet xmlns:r="http://schemas.openxmlformats.org/officeDocument/2006/relationships" name="Refurbishment" sheetId="3" state="visible" r:id="rId3"/>
    <sheet xmlns:r="http://schemas.openxmlformats.org/officeDocument/2006/relationships" name="Remanufacturing" sheetId="4" state="visible" r:id="rId4"/>
    <sheet xmlns:r="http://schemas.openxmlformats.org/officeDocument/2006/relationships" name="Recycle" sheetId="5" state="visible" r:id="rId5"/>
    <sheet xmlns:r="http://schemas.openxmlformats.org/officeDocument/2006/relationships" name="software_do_not_delete" sheetId="6" state="visible" r:id="rId6"/>
  </sheets>
  <definedNames>
    <definedName name="_xlnm._FilterDatabase" localSheetId="1" hidden="1">'Reuse'!$A$1:$X$82</definedName>
    <definedName name="_xlnm._FilterDatabase" localSheetId="2" hidden="1">'Refurbishment'!$A$1:$X$19</definedName>
  </definedNames>
  <calcPr calcId="124519" fullCalcOnLoad="1"/>
</workbook>
</file>

<file path=xl/styles.xml><?xml version="1.0" encoding="utf-8"?>
<styleSheet xmlns="http://schemas.openxmlformats.org/spreadsheetml/2006/main">
  <numFmts count="0"/>
  <fonts count="8">
    <font>
      <name val="Arial"/>
      <color rgb="FF000000"/>
      <sz val="10"/>
    </font>
    <font>
      <b val="1"/>
    </font>
    <font>
      <name val="Arial"/>
    </font>
    <font/>
    <font>
      <color rgb="FF0000FF"/>
      <u val="single"/>
    </font>
    <font>
      <name val="Arial"/>
      <b val="1"/>
      <color rgb="FF000000"/>
    </font>
    <font>
      <color rgb="FF0000FF"/>
      <u val="single"/>
    </font>
    <font>
      <color rgb="FF0000FF"/>
      <u val="single"/>
    </font>
  </fonts>
  <fills count="24">
    <fill>
      <patternFill/>
    </fill>
    <fill>
      <patternFill patternType="lightGray"/>
    </fill>
    <fill>
      <patternFill patternType="solid">
        <fgColor rgb="FFCCCCCC"/>
        <bgColor rgb="FFCCCCCC"/>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B6D7A8"/>
        <bgColor rgb="FFB6D7A8"/>
      </patternFill>
    </fill>
    <fill>
      <patternFill patternType="solid">
        <fgColor rgb="FFFFE599"/>
        <bgColor rgb="FFFFE599"/>
      </patternFill>
    </fill>
    <fill>
      <patternFill patternType="solid">
        <fgColor rgb="FFFFF2CC"/>
        <bgColor rgb="FFFFF2CC"/>
      </patternFill>
    </fill>
    <fill>
      <patternFill patternType="solid">
        <fgColor rgb="FFD9EAD3"/>
        <bgColor rgb="FFD9EAD3"/>
      </patternFill>
    </fill>
    <fill>
      <patternFill patternType="solid">
        <fgColor rgb="FFA2C4C9"/>
        <bgColor rgb="FFA2C4C9"/>
      </patternFill>
    </fill>
    <fill>
      <patternFill patternType="solid">
        <fgColor rgb="FFD0E0E3"/>
        <bgColor rgb="FFD0E0E3"/>
      </patternFill>
    </fill>
    <fill>
      <patternFill patternType="solid">
        <fgColor rgb="FFA4C2F4"/>
        <bgColor rgb="FFA4C2F4"/>
      </patternFill>
    </fill>
    <fill>
      <patternFill patternType="solid">
        <fgColor rgb="FFC9DAF8"/>
        <bgColor rgb="FFC9DAF8"/>
      </patternFill>
    </fill>
    <fill>
      <patternFill patternType="solid">
        <fgColor rgb="FFB4A7D6"/>
        <bgColor rgb="FFB4A7D6"/>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DD7E6B"/>
        <bgColor rgb="FFDD7E6B"/>
      </patternFill>
    </fill>
    <fill>
      <patternFill patternType="solid">
        <fgColor rgb="FFE6B8AF"/>
        <bgColor rgb="FFE6B8AF"/>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4CCCC"/>
        <bgColor rgb="FFF4CCCC"/>
      </patternFill>
    </fill>
  </fills>
  <borders count="1">
    <border/>
  </borders>
  <cellStyleXfs count="1">
    <xf numFmtId="0" fontId="0" fillId="0" borderId="0"/>
  </cellStyleXfs>
  <cellXfs count="77">
    <xf numFmtId="0" fontId="0" fillId="0" borderId="0" applyAlignment="1" pivotButton="0" quotePrefix="0" xfId="0">
      <alignment vertical="bottom"/>
    </xf>
    <xf numFmtId="0" fontId="1" fillId="2" borderId="0" applyAlignment="1" pivotButton="0" quotePrefix="0" xfId="0">
      <alignment vertical="top"/>
    </xf>
    <xf numFmtId="0" fontId="1" fillId="3" borderId="0" applyAlignment="1" pivotButton="0" quotePrefix="0" xfId="0">
      <alignment vertical="top"/>
    </xf>
    <xf numFmtId="0" fontId="1" fillId="3" borderId="0" applyAlignment="1" pivotButton="0" quotePrefix="0" xfId="0">
      <alignment vertical="top"/>
    </xf>
    <xf numFmtId="0" fontId="2" fillId="4" borderId="0" applyAlignment="1" pivotButton="0" quotePrefix="0" xfId="0">
      <alignment vertical="top"/>
    </xf>
    <xf numFmtId="0" fontId="2" fillId="4" borderId="0" applyAlignment="1" pivotButton="0" quotePrefix="0" xfId="0">
      <alignment horizontal="right" vertical="top"/>
    </xf>
    <xf numFmtId="0" fontId="2" fillId="4"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5" borderId="0" applyAlignment="1" pivotButton="0" quotePrefix="0" xfId="0">
      <alignment horizontal="right" vertical="top"/>
    </xf>
    <xf numFmtId="0" fontId="2" fillId="5" borderId="0" applyAlignment="1" pivotButton="0" quotePrefix="0" xfId="0">
      <alignment vertical="top"/>
    </xf>
    <xf numFmtId="0" fontId="2" fillId="5" borderId="0" applyAlignment="1" pivotButton="0" quotePrefix="0" xfId="0">
      <alignment vertical="top"/>
    </xf>
    <xf numFmtId="0" fontId="3" fillId="0" borderId="0" applyAlignment="1" pivotButton="0" quotePrefix="0" xfId="0">
      <alignment vertical="top"/>
    </xf>
    <xf numFmtId="0" fontId="2" fillId="5" borderId="0" applyAlignment="1" pivotButton="0" quotePrefix="0" xfId="0">
      <alignment vertical="top"/>
    </xf>
    <xf numFmtId="0" fontId="2" fillId="5" borderId="0" applyAlignment="1" pivotButton="0" quotePrefix="0" xfId="0">
      <alignment horizontal="right" vertical="top"/>
    </xf>
    <xf numFmtId="0" fontId="2" fillId="4" borderId="0" applyAlignment="1" pivotButton="0" quotePrefix="0" xfId="0">
      <alignment vertical="top"/>
    </xf>
    <xf numFmtId="0" fontId="2" fillId="4" borderId="0" applyAlignment="1" pivotButton="0" quotePrefix="0" xfId="0">
      <alignment horizontal="right" vertical="top"/>
    </xf>
    <xf numFmtId="0" fontId="3"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wrapText="1"/>
    </xf>
    <xf numFmtId="0" fontId="1" fillId="3" borderId="0" applyAlignment="1" pivotButton="0" quotePrefix="0" xfId="0">
      <alignment vertical="top"/>
    </xf>
    <xf numFmtId="0" fontId="5" fillId="3" borderId="0" applyAlignment="1" pivotButton="0" quotePrefix="0" xfId="0">
      <alignment horizontal="left"/>
    </xf>
    <xf numFmtId="0" fontId="1" fillId="3" borderId="0" applyAlignment="1" pivotButton="0" quotePrefix="0" xfId="0">
      <alignment vertical="top"/>
    </xf>
    <xf numFmtId="0" fontId="3" fillId="4" borderId="0" applyAlignment="1" pivotButton="0" quotePrefix="0" xfId="0">
      <alignment vertical="top"/>
    </xf>
    <xf numFmtId="0" fontId="3" fillId="6" borderId="0" applyAlignment="1" pivotButton="0" quotePrefix="0" xfId="0">
      <alignment vertical="top"/>
    </xf>
    <xf numFmtId="0" fontId="3" fillId="4" borderId="0" applyAlignment="1" pivotButton="0" quotePrefix="0" xfId="0">
      <alignment vertical="top"/>
    </xf>
    <xf numFmtId="0" fontId="3" fillId="5"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xf numFmtId="0" fontId="3" fillId="7" borderId="0" applyAlignment="1" pivotButton="0" quotePrefix="0" xfId="0">
      <alignment vertical="top"/>
    </xf>
    <xf numFmtId="0" fontId="3" fillId="8" borderId="0" applyAlignment="1" pivotButton="0" quotePrefix="0" xfId="0">
      <alignment vertical="top"/>
    </xf>
    <xf numFmtId="0" fontId="3" fillId="9" borderId="0" applyAlignment="1" pivotButton="0" quotePrefix="0" xfId="0">
      <alignment vertical="top"/>
    </xf>
    <xf numFmtId="0" fontId="3" fillId="10" borderId="0" applyAlignment="1" pivotButton="0" quotePrefix="0" xfId="0">
      <alignment vertical="top"/>
    </xf>
    <xf numFmtId="0" fontId="3" fillId="11" borderId="0" applyAlignment="1" pivotButton="0" quotePrefix="0" xfId="0">
      <alignment vertical="top"/>
    </xf>
    <xf numFmtId="0" fontId="3" fillId="12" borderId="0" applyAlignment="1" pivotButton="0" quotePrefix="0" xfId="0">
      <alignment vertical="top"/>
    </xf>
    <xf numFmtId="0" fontId="3" fillId="13" borderId="0" applyAlignment="1" pivotButton="0" quotePrefix="0" xfId="0">
      <alignment vertical="top"/>
    </xf>
    <xf numFmtId="0" fontId="3" fillId="14" borderId="0" applyAlignment="1" pivotButton="0" quotePrefix="0" xfId="0">
      <alignment vertical="top"/>
    </xf>
    <xf numFmtId="0" fontId="3" fillId="15" borderId="0" applyAlignment="1" pivotButton="0" quotePrefix="0" xfId="0">
      <alignment vertical="top"/>
    </xf>
    <xf numFmtId="0" fontId="3" fillId="14" borderId="0" applyAlignment="1" pivotButton="0" quotePrefix="0" xfId="0">
      <alignment vertical="top"/>
    </xf>
    <xf numFmtId="0" fontId="3" fillId="15" borderId="0" applyAlignment="1" pivotButton="0" quotePrefix="0" xfId="0">
      <alignment vertical="top"/>
    </xf>
    <xf numFmtId="0" fontId="3" fillId="5" borderId="0" applyAlignment="1" pivotButton="0" quotePrefix="0" xfId="0">
      <alignment vertical="top"/>
    </xf>
    <xf numFmtId="0" fontId="3" fillId="16" borderId="0" applyAlignment="1" pivotButton="0" quotePrefix="0" xfId="0">
      <alignment vertical="top"/>
    </xf>
    <xf numFmtId="0" fontId="3" fillId="17" borderId="0" applyAlignment="1" pivotButton="0" quotePrefix="0" xfId="0">
      <alignment vertical="top"/>
    </xf>
    <xf numFmtId="0" fontId="3" fillId="18" borderId="0" applyAlignment="1" pivotButton="0" quotePrefix="0" xfId="0">
      <alignment vertical="top"/>
    </xf>
    <xf numFmtId="0" fontId="3" fillId="19" borderId="0" applyAlignment="1" pivotButton="0" quotePrefix="0" xfId="0">
      <alignment vertical="top"/>
    </xf>
    <xf numFmtId="0" fontId="3" fillId="4" borderId="0" applyAlignment="1" pivotButton="0" quotePrefix="0" xfId="0">
      <alignment vertical="top"/>
    </xf>
    <xf numFmtId="0" fontId="3" fillId="20" borderId="0" applyAlignment="1" pivotButton="0" quotePrefix="0" xfId="0">
      <alignment vertical="top"/>
    </xf>
    <xf numFmtId="0" fontId="3" fillId="21" borderId="0" applyAlignment="1" pivotButton="0" quotePrefix="0" xfId="0">
      <alignment vertical="top"/>
    </xf>
    <xf numFmtId="0" fontId="3" fillId="4" borderId="0" applyAlignment="1" pivotButton="0" quotePrefix="0" xfId="0">
      <alignment vertical="top" wrapText="1"/>
    </xf>
    <xf numFmtId="0" fontId="3" fillId="9" borderId="0" applyAlignment="1" pivotButton="0" quotePrefix="0" xfId="0">
      <alignment vertical="top"/>
    </xf>
    <xf numFmtId="0" fontId="3" fillId="5" borderId="0" applyAlignment="1" pivotButton="0" quotePrefix="0" xfId="0">
      <alignment vertical="top" wrapText="1"/>
    </xf>
    <xf numFmtId="0" fontId="3" fillId="10" borderId="0" applyAlignment="1" pivotButton="0" quotePrefix="0" xfId="0">
      <alignment vertical="top"/>
    </xf>
    <xf numFmtId="0" fontId="3" fillId="11" borderId="0" applyAlignment="1" pivotButton="0" quotePrefix="0" xfId="0">
      <alignment vertical="top"/>
    </xf>
    <xf numFmtId="0" fontId="3" fillId="16" borderId="0" applyAlignment="1" pivotButton="0" quotePrefix="0" xfId="0">
      <alignment vertical="top"/>
    </xf>
    <xf numFmtId="0" fontId="3" fillId="17" borderId="0" applyAlignment="1" pivotButton="0" quotePrefix="0" xfId="0">
      <alignment vertical="top"/>
    </xf>
    <xf numFmtId="0" fontId="6" fillId="5" borderId="0" applyAlignment="1" pivotButton="0" quotePrefix="0" xfId="0">
      <alignment vertical="top"/>
    </xf>
    <xf numFmtId="0" fontId="3" fillId="18" borderId="0" applyAlignment="1" pivotButton="0" quotePrefix="0" xfId="0">
      <alignment vertical="top"/>
    </xf>
    <xf numFmtId="0" fontId="3" fillId="19" borderId="0" applyAlignment="1" pivotButton="0" quotePrefix="0" xfId="0">
      <alignment vertical="top"/>
    </xf>
    <xf numFmtId="0" fontId="2" fillId="4" borderId="0" applyAlignment="1" pivotButton="0" quotePrefix="0" xfId="0">
      <alignment horizontal="right" vertical="top"/>
    </xf>
    <xf numFmtId="0" fontId="2" fillId="9" borderId="0" applyAlignment="1" pivotButton="0" quotePrefix="0" xfId="0">
      <alignment vertical="top"/>
    </xf>
    <xf numFmtId="0" fontId="2" fillId="4" borderId="0" applyAlignment="1" pivotButton="0" quotePrefix="0" xfId="0">
      <alignment vertical="top"/>
    </xf>
    <xf numFmtId="0" fontId="2" fillId="4" borderId="0" applyAlignment="1" pivotButton="0" quotePrefix="0" xfId="0">
      <alignment vertical="top"/>
    </xf>
    <xf numFmtId="0" fontId="3" fillId="22" borderId="0" applyAlignment="1" pivotButton="0" quotePrefix="0" xfId="0">
      <alignment vertical="top"/>
    </xf>
    <xf numFmtId="0" fontId="3" fillId="23" borderId="0" applyAlignment="1" pivotButton="0" quotePrefix="0" xfId="0">
      <alignment vertical="top"/>
    </xf>
    <xf numFmtId="0" fontId="7" fillId="5" borderId="0" applyAlignment="1" pivotButton="0" quotePrefix="0" xfId="0">
      <alignment vertical="top"/>
    </xf>
    <xf numFmtId="0" fontId="3" fillId="5"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vertical="top"/>
    </xf>
    <xf numFmtId="0" fontId="3" fillId="0" borderId="0"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dxfs count="5">
    <dxf>
      <font/>
      <fill>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3" defaultTableStyle="TableStyleMedium9" defaultPivotStyle="PivotStyleLight16">
    <tableStyle name="Maintenance-style" pivot="0" count="3">
      <tableStyleElement type="headerRow" dxfId="1"/>
      <tableStyleElement type="firstRowStripe" dxfId="2"/>
      <tableStyleElement type="secondRowStripe" dxfId="3"/>
    </tableStyle>
    <tableStyle name="Remanufacturing-style" pivot="0" count="3">
      <tableStyleElement type="headerRow" dxfId="1"/>
      <tableStyleElement type="firstRowStripe" dxfId="2"/>
      <tableStyleElement type="secondRowStripe" dxfId="3"/>
    </tableStyle>
    <tableStyle name="Recycle-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1:X1049" headerRowCount="0">
  <tableColumns count="2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s>
  <tableStyleInfo name="Maintenance-style" showFirstColumn="1" showLastColumn="1" showRowStripes="1" showColumnStripes="0"/>
</table>
</file>

<file path=xl/tables/table2.xml><?xml version="1.0" encoding="utf-8"?>
<table xmlns="http://schemas.openxmlformats.org/spreadsheetml/2006/main" id="2" name="Table_2" displayName="Table_2" ref="A1:X1043" headerRowCount="0">
  <tableColumns count="2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s>
  <tableStyleInfo name="Remanufacturing-style" showFirstColumn="1" showLastColumn="1" showRowStripes="1" showColumnStripes="0"/>
</table>
</file>

<file path=xl/tables/table3.xml><?xml version="1.0" encoding="utf-8"?>
<table xmlns="http://schemas.openxmlformats.org/spreadsheetml/2006/main" id="3" name="Table_3" displayName="Table_3" ref="A1:X1047" headerRowCount="0">
  <tableColumns count="2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s>
  <tableStyleInfo name="Recycl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uroparl.europa.eu/news/en/press-room/20201120IPR92118/parliament-wants-to-grant-eu-consumers-a-right-to-repair" TargetMode="External" Id="rId1"/><Relationship Type="http://schemas.openxmlformats.org/officeDocument/2006/relationships/hyperlink" Target="https://hbr.org/2010/02/from-do-it-yourself-to-do-it-t" TargetMode="External" Id="rId2"/><Relationship Type="http://schemas.openxmlformats.org/officeDocument/2006/relationships/hyperlink" Target="https://doi.org/10.1109/TPC.2016.2527259" TargetMode="External" Id="rId3"/><Relationship Type="http://schemas.openxmlformats.org/officeDocument/2006/relationships/table" Target="/xl/tables/table1.xml" Id="rId4"/></Relationships>
</file>

<file path=xl/worksheets/_rels/sheet2.xml.rels><Relationships xmlns="http://schemas.openxmlformats.org/package/2006/relationships"><Relationship Type="http://schemas.openxmlformats.org/officeDocument/2006/relationships/hyperlink" Target="https://www.patagoniaworks.com/press/2015/3/31/patagonia-mobile-worn-wear-tour-if-its-broke-fix-it" TargetMode="External" Id="rId1"/><Relationship Type="http://schemas.openxmlformats.org/officeDocument/2006/relationships/hyperlink" Target="https://doi.org/10.1504/IJSM.2009.023974" TargetMode="Externa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0" summaryRight="0"/>
    <pageSetUpPr/>
  </sheetPr>
  <dimension ref="A1:X1049"/>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10.13" customWidth="1" style="76" min="1" max="1"/>
    <col width="5.63" customWidth="1" style="76" min="2" max="2"/>
    <col width="10.75" customWidth="1" style="76" min="3" max="3"/>
    <col width="22.38" customWidth="1" style="76" min="4" max="4"/>
    <col width="23.75" customWidth="1" style="76" min="5" max="5"/>
    <col width="31.38" customWidth="1" style="76" min="6" max="8"/>
    <col width="33.38" customWidth="1" style="76" min="9" max="9"/>
    <col width="22.75" customWidth="1" style="76" min="10" max="10"/>
    <col width="35.13" customWidth="1" style="76" min="11" max="11"/>
    <col width="24" customWidth="1" style="76" min="12" max="12"/>
    <col width="16.13" customWidth="1" style="76" min="13" max="13"/>
    <col width="23.63" customWidth="1" style="76" min="14" max="14"/>
    <col width="30.88" customWidth="1" style="76" min="15" max="15"/>
    <col width="17.75" customWidth="1" style="76" min="16" max="16"/>
    <col width="51" customWidth="1" style="76" min="17" max="17"/>
  </cols>
  <sheetData>
    <row r="1">
      <c r="A1" s="1" t="inlineStr">
        <is>
          <t>TYPE</t>
        </is>
      </c>
      <c r="B1" s="1" t="inlineStr">
        <is>
          <t>ID</t>
        </is>
      </c>
      <c r="C1" s="1" t="inlineStr">
        <is>
          <t>X1</t>
        </is>
      </c>
      <c r="D1" s="1" t="inlineStr">
        <is>
          <t>X2</t>
        </is>
      </c>
      <c r="E1" s="1" t="inlineStr">
        <is>
          <t>X3</t>
        </is>
      </c>
      <c r="F1" s="1" t="inlineStr">
        <is>
          <t>AUTHOR_ID</t>
        </is>
      </c>
      <c r="G1" s="1" t="inlineStr">
        <is>
          <t>SCIENTIFIC SATURATION</t>
        </is>
      </c>
      <c r="H1" s="1" t="inlineStr">
        <is>
          <t>HOW</t>
        </is>
      </c>
      <c r="I1" s="1" t="inlineStr">
        <is>
          <t>WHY</t>
        </is>
      </c>
      <c r="J1" s="1" t="inlineStr">
        <is>
          <t>USE</t>
        </is>
      </c>
      <c r="K1" s="1" t="inlineStr">
        <is>
          <t>CHARACTERISTICS</t>
        </is>
      </c>
      <c r="L1" s="1" t="inlineStr">
        <is>
          <t>QUESTIONS TO ANSWER</t>
        </is>
      </c>
      <c r="M1" s="1" t="inlineStr">
        <is>
          <t>CASE_STUDY_ID</t>
        </is>
      </c>
      <c r="N1" s="28" t="inlineStr">
        <is>
          <t>REFERENCES</t>
        </is>
      </c>
      <c r="O1" s="28" t="inlineStr">
        <is>
          <t>PRODUCT-TAGS</t>
        </is>
      </c>
      <c r="P1" s="28" t="inlineStr">
        <is>
          <t>CIRCULARITY_INDEX</t>
        </is>
      </c>
      <c r="Q1" s="28" t="inlineStr">
        <is>
          <t>DFX_RELATIONSHIP</t>
        </is>
      </c>
      <c r="R1" s="28" t="inlineStr">
        <is>
          <t>LOOP</t>
        </is>
      </c>
      <c r="S1" s="28" t="inlineStr">
        <is>
          <t>APPLIES_TO</t>
        </is>
      </c>
      <c r="T1" s="28" t="inlineStr">
        <is>
          <t>HIDDEN_USER</t>
        </is>
      </c>
      <c r="U1" s="28" t="inlineStr">
        <is>
          <t>HIDDEN_LAST_UPDATE</t>
        </is>
      </c>
      <c r="V1" s="28" t="n"/>
      <c r="W1" s="28" t="n"/>
      <c r="X1" s="28" t="n"/>
    </row>
    <row r="2" ht="75" customHeight="1" s="76">
      <c r="A2" s="67" t="inlineStr">
        <is>
          <t>business</t>
        </is>
      </c>
      <c r="B2" s="64" t="n">
        <v>143</v>
      </c>
      <c r="C2" s="67" t="inlineStr">
        <is>
          <t>Df Maintenance</t>
        </is>
      </c>
      <c r="D2" s="67" t="inlineStr">
        <is>
          <t>Df Circular Business Model</t>
        </is>
      </c>
      <c r="E2" s="67" t="inlineStr">
        <is>
          <t>Df Circular Business Model</t>
        </is>
      </c>
      <c r="F2" s="67" t="n">
        <v>1</v>
      </c>
      <c r="G2" s="67" t="n"/>
      <c r="H2" s="67" t="inlineStr">
        <is>
          <t>Evaluate circular business model typologies (product leasing, sharing, result-oriented services) and design products accordingly. Consider the service infrastructure needed to support the model (logistics, maintenance, returns). Design for durability, easy maintenance, and multiple recovery cycles.</t>
        </is>
      </c>
      <c r="I2" s="67" t="inlineStr">
        <is>
          <t>Design for Circular Business Models requires to change the ways a company design products and provide services with the aim to reuse the value produced for multiple loops. In this strategy, products should be designed for operating for as long as
possible, and to ensuring that products can be kept functioning satisfactorily through uncomplicated maintenance and repairs and possibly through convenient updates. If a component of the product is obsolete, it can be repaired, refurbished, remanufactured or recycled. The identified objectives for components are also applicable to the product. 
Companies that have the intent to promote a circular approach, should also design services that are able to fulfil the user's needs and wants. In a circular business model, this may lead to the design for behaviour change of the user. A good example is a car-sharing model. Here, the user in order to move from point A to point B should first reserve a car with an app and then find it through the use of the geolocalization. In this case, the user is required to performed different activities before starting to move. If this process is not smooth and easy, the user may be unwilling to use this service.</t>
        </is>
      </c>
      <c r="J2" s="67" t="inlineStr">
        <is>
          <t>Applicable to all product categories, particularly high-value durables (appliances, furniture, machinery) and consumer electronics. Suitable when users benefit more from accessing functionality than owning the product.</t>
        </is>
      </c>
      <c r="K2" s="67" t="inlineStr">
        <is>
          <t>Provider retains product ownership; design emphasizes durability and serviceability; strong link between product design and service design; requires business model innovation alongside product innovation.</t>
        </is>
      </c>
      <c r="L2" s="67" t="inlineStr">
        <is>
          <t>• What circular business model better meet users' needs? Are my key customers willing to receive a service instead that a product?
• How the product can be better designed to meet the circular business model? 
• How the service can be better designed to incentive users to use my service?</t>
        </is>
      </c>
      <c r="M2" s="64" t="n">
        <v>82</v>
      </c>
      <c r="N2" s="67" t="inlineStr">
        <is>
          <t>Guldmann, E. (2014). Best practice examples of circular business models. World, 20.</t>
        </is>
      </c>
      <c r="O2" s="67" t="n"/>
      <c r="P2" s="64" t="n">
        <v>1</v>
      </c>
      <c r="Q2" s="67" t="inlineStr">
        <is>
          <t>Df Product Leasing, Df Product Sharing, Df Collaborative Consumption</t>
        </is>
      </c>
      <c r="R2" s="21" t="inlineStr">
        <is>
          <t>LOOP 1, LOOP N</t>
        </is>
      </c>
      <c r="S2" s="21" t="inlineStr">
        <is>
          <t>Products, Systems</t>
        </is>
      </c>
      <c r="T2" s="67" t="inlineStr">
        <is>
          <t>sergio.fregoni@gmail.com</t>
        </is>
      </c>
      <c r="U2" s="67" t="inlineStr">
        <is>
          <t>Sat Nov 14 2020 18:50:50 GMT+0000 (Greenwich Mean Time)</t>
        </is>
      </c>
      <c r="V2" s="67" t="n"/>
      <c r="W2" s="67" t="n"/>
      <c r="X2" s="67" t="n"/>
    </row>
    <row r="3" ht="75" customHeight="1" s="76">
      <c r="A3" s="15" t="inlineStr">
        <is>
          <t>business</t>
        </is>
      </c>
      <c r="B3" s="16" t="n">
        <v>145</v>
      </c>
      <c r="C3" s="15" t="inlineStr">
        <is>
          <t>Df Maintenance</t>
        </is>
      </c>
      <c r="D3" s="15" t="inlineStr">
        <is>
          <t>Df Circular Business Model</t>
        </is>
      </c>
      <c r="E3" s="15" t="inlineStr">
        <is>
          <t>Df Product Leasing</t>
        </is>
      </c>
      <c r="F3" s="67" t="n">
        <v>1</v>
      </c>
      <c r="G3" s="15" t="n"/>
      <c r="H3" s="15" t="inlineStr">
        <is>
          <t>Design robust products with long lifecycle considering multiple users. Prioritize ease of maintenance, disassembly, and cleaning. Standardize replacement procedures. Plan for condition assessment and refurbishment cycles.</t>
        </is>
      </c>
      <c r="I3" s="15" t="inlineStr">
        <is>
          <t>In the long-term strategy, the user wants to use a high quality product that does not require a capital up front payment. The benefit of this configuration for the user always is a flexible system with zero risk, status symbol without high investments and upgradability of the product free of charge or below the market price. The benifits of the provider, after an initial investment, concern with the maintaining of the value, providing new and different services with the product and the possibility to build stronger brand, product and customer loyalty.
Product leasing may result in highly weared out products after use. Designers should take into consideration such downside of the service products by designing high nquality product that are able to be reused multiple times. The main aim is to work on robust structure of the product and facilitate the replacement of spare parts to keeping the product in the market for as much loops as possible.</t>
        </is>
      </c>
      <c r="J3" s="15" t="inlineStr">
        <is>
          <t>The potential products that can be considered in this category are long-lasting products. In order to evaluate the viability of the long-term leasing the designer should evaluate the present market, understand the target and why the consumers would prefer a long-term leasing rather than own a product. The challange here is to maintain the quality of the product toward multiple consumers.</t>
        </is>
      </c>
      <c r="K3" s="15" t="inlineStr">
        <is>
          <t>In the Long-term leasing the provider maintain the ownership of the product. The main objectives of provider sees not only the provision of  the product on the market, but also the possibility to provid pther comprehensive optional services (such as insurance, reparing, replacement of degradable parts).</t>
        </is>
      </c>
      <c r="L3" s="15" t="inlineStr">
        <is>
          <t>Would users be willing to lease our product with a long-term contract? 
Which additional service could be combined with the product or service to generate more revenue? 
What should I change about the design of my product to make it last for many life cycles?</t>
        </is>
      </c>
      <c r="M3" s="15" t="n">
        <v>84</v>
      </c>
      <c r="N3" s="15" t="inlineStr">
        <is>
          <t>Tukker, A. (2004). Eight types of product–service system: Eight ways to sustainability? Experiences from SusProNet. Business Strategy and the Environment, 13(4), 246–260. https://doi.org/10.1002/bse.414
Vezzoli, C. A., &amp; Manzini, E. (2008). Design for Environmental Sustainability (2008 edition). Berlin ; London: Springer.
Stahel, W. (2010). The Performance Economy. Palgrave Macmillan UK.
Ceschin, F. (2014). Sustainable Product-Service Systems: Between Strategic Design and Transition Studies.</t>
        </is>
      </c>
      <c r="O3" s="15" t="n"/>
      <c r="P3" s="16" t="n">
        <v>1</v>
      </c>
      <c r="Q3" s="15" t="n"/>
      <c r="R3" s="21" t="inlineStr">
        <is>
          <t>LOOP 1, LOOP N</t>
        </is>
      </c>
      <c r="S3" s="21" t="inlineStr">
        <is>
          <t>Products, Components</t>
        </is>
      </c>
      <c r="T3" s="15" t="n"/>
      <c r="U3" s="15" t="n"/>
      <c r="V3" s="15" t="n"/>
      <c r="W3" s="15" t="n"/>
      <c r="X3" s="15" t="n"/>
    </row>
    <row r="4" ht="75" customHeight="1" s="76">
      <c r="A4" s="67" t="inlineStr">
        <is>
          <t>business</t>
        </is>
      </c>
      <c r="B4" s="64" t="n">
        <v>144</v>
      </c>
      <c r="C4" s="67" t="inlineStr">
        <is>
          <t>Df Maintenance</t>
        </is>
      </c>
      <c r="D4" s="67" t="inlineStr">
        <is>
          <t>Df Circular Business Model</t>
        </is>
      </c>
      <c r="E4" s="67" t="inlineStr">
        <is>
          <t>Df Product Sharing</t>
        </is>
      </c>
      <c r="F4" s="67" t="n">
        <v>1</v>
      </c>
      <c r="G4" s="67" t="n"/>
      <c r="H4" s="67" t="inlineStr">
        <is>
          <t>Design for intensive use with emphasis on durability and damage resistance. Incorporate easy cleaning and sanitation features. Design for straightforward access and return procedures. Include tracking systems and condition monitoring.</t>
        </is>
      </c>
      <c r="I4" s="67" t="inlineStr">
        <is>
          <t>In this strategy, the property of the product is retained by the provider and the user is allowed to use the product for a short time. The customer is charged for each use of the product. In this strategy, multiple users can use the product one after another. For this reason, products in this category can become quickly wear if not robust.</t>
        </is>
      </c>
      <c r="J4" s="67" t="inlineStr">
        <is>
          <t>Short-term sharing systems (bike sharing, car sharing, tool libraries, appliance libraries). Works best for products with high utilization rates.</t>
        </is>
      </c>
      <c r="K4" s="67" t="inlineStr">
        <is>
          <t>Products must withstand frequent handling and rapid user turnover; simple interfaces for diverse users; modular design for quick maintenance between users; robust materials and protective coatings.</t>
        </is>
      </c>
      <c r="L4" s="67" t="inlineStr">
        <is>
          <t>In which way we can create profit as a business by selling products to be shared? 
Would the user be willing to use the product or service for a limited time? Which additional service could be combined with the product or service to generate more revenue?</t>
        </is>
      </c>
      <c r="M4" s="67" t="n">
        <v>3</v>
      </c>
      <c r="N4" s="67" t="inlineStr">
        <is>
          <t>Tukker, A. (2004). Eight types of product–service system: Eight ways to sustainability? Experiences from SusProNet. Business Strategy and the Environment, 13(4), 246–260.
Ceschin, F. (2014). Sustainable Product-Service Systems: Between Strategic Design and Transition Studies.</t>
        </is>
      </c>
      <c r="O4" s="67" t="n"/>
      <c r="P4" s="64" t="n">
        <v>1</v>
      </c>
      <c r="Q4" s="67" t="n"/>
      <c r="R4" s="21" t="inlineStr">
        <is>
          <t>LOOP 1</t>
        </is>
      </c>
      <c r="S4" s="21" t="inlineStr">
        <is>
          <t>Products</t>
        </is>
      </c>
      <c r="T4" s="67" t="n"/>
      <c r="U4" s="67" t="n"/>
      <c r="V4" s="67" t="n"/>
      <c r="W4" s="67" t="n"/>
      <c r="X4" s="67" t="n"/>
    </row>
    <row r="5" ht="75" customHeight="1" s="76">
      <c r="A5" s="15" t="inlineStr">
        <is>
          <t>business</t>
        </is>
      </c>
      <c r="B5" s="16" t="n">
        <v>73</v>
      </c>
      <c r="C5" s="15" t="inlineStr">
        <is>
          <t>Df Maintenance</t>
        </is>
      </c>
      <c r="D5" s="15" t="inlineStr">
        <is>
          <t>Df Circular Business Model</t>
        </is>
      </c>
      <c r="E5" s="15" t="inlineStr">
        <is>
          <t>Df Circular Business Model</t>
        </is>
      </c>
      <c r="F5" s="67" t="n">
        <v>1</v>
      </c>
      <c r="G5" s="15" t="n"/>
      <c r="H5" s="15" t="inlineStr">
        <is>
          <t>Analyze existing circular business models (PSS, leasing, sharing, refurbishment). Select model aligned with product characteristics and market. Design products with clear recovery pathways and maintenance requirements documented.</t>
        </is>
      </c>
      <c r="I5" s="15" t="inlineStr">
        <is>
          <t>Shifting from linear take-make-dispose models to circular business models ensures products remain in use longer and retain value through multiple loops. This requires integrated product and service design, where product durability is essential for business viability.</t>
        </is>
      </c>
      <c r="J5" s="15" t="inlineStr">
        <is>
          <t>Applicable to all sectors seeking circular transformation. Particularly effective for capital-intensive products and high-value items.</t>
        </is>
      </c>
      <c r="K5" s="15" t="inlineStr">
        <is>
          <t>Business model innovation coupled with product design; closed-loop material flows; service-oriented value proposition; performance metrics shift from ownership to use.</t>
        </is>
      </c>
      <c r="L5" s="15" t="inlineStr">
        <is>
          <t>• Which circular business model aligns with our product and market? 
• What product design changes are required to support this model? 
• How do we ensure profitability while maintaining product in use longer? 
• What service infrastructure must we build?</t>
        </is>
      </c>
      <c r="M5" s="15" t="n">
        <v>115</v>
      </c>
      <c r="N5" s="15" t="inlineStr">
        <is>
          <t>Ellen MacArthur Foundation. (2013). Towards the Circular Economy Vol. 1. Ellen MacArthur Foundation.
Vezzoli, C. (2018). System Design for Sustainability. Politecnico di Milano.
Ceschin, F., &amp; Gaziulusoy, I. (2016). Evolution of design for sustainability: From product design to design for system innovations and transitions. Design Studies, 47, 118-146.</t>
        </is>
      </c>
      <c r="O5" s="15" t="n"/>
      <c r="P5" s="64" t="n">
        <v>1</v>
      </c>
      <c r="Q5" s="15" t="n"/>
      <c r="R5" s="21" t="inlineStr">
        <is>
          <t>LOOP 1, LOOP N</t>
        </is>
      </c>
      <c r="S5" s="21" t="inlineStr">
        <is>
          <t>Products, Systems, Processes</t>
        </is>
      </c>
      <c r="T5" s="15" t="n"/>
      <c r="U5" s="15" t="n"/>
      <c r="V5" s="15" t="n"/>
      <c r="W5" s="15" t="n"/>
      <c r="X5" s="15" t="n"/>
    </row>
    <row r="6" ht="75" customHeight="1" s="76">
      <c r="A6" s="67" t="inlineStr">
        <is>
          <t>business</t>
        </is>
      </c>
      <c r="B6" s="64" t="n">
        <v>81</v>
      </c>
      <c r="C6" s="67" t="inlineStr">
        <is>
          <t>Df Maintenance</t>
        </is>
      </c>
      <c r="D6" s="67" t="inlineStr">
        <is>
          <t>Df Circular Business Model</t>
        </is>
      </c>
      <c r="E6" s="67" t="inlineStr">
        <is>
          <t>Df Functional Result</t>
        </is>
      </c>
      <c r="F6" s="67" t="n">
        <v>1</v>
      </c>
      <c r="G6" s="67" t="inlineStr">
        <is>
          <t>high</t>
        </is>
      </c>
      <c r="H6" s="67" t="inlineStr">
        <is>
          <t>Shift product design focus from selling products to delivering functionalities or results. Define required performance outcomes. Design modularity to replace only degraded components. Establish take-back and recovery systems.</t>
        </is>
      </c>
      <c r="I6" s="67" t="inlineStr">
        <is>
          <t>Df Functional Result strategy seeks to provide the service of the product rather than the product. Here, the product is made with high-valuable material and combines concepts of accessibility, assemblability, and component reliability in order to create a long-lasting product. Some classical products and services of the Design for Functional Result strategy are trains, air plans, roads, etc.</t>
        </is>
      </c>
      <c r="J6" s="67" t="inlineStr">
        <is>
          <t>Result-oriented services (e.g., "light as a service" instead of selling lights, "cooling as a service" instead of air conditioning units). Effective for products with predictable degradation patterns.</t>
        </is>
      </c>
      <c r="K6" s="67" t="inlineStr">
        <is>
          <t>Provider incentivized to maximize product lifespan; focus on performance metrics rather than sales volume; emphasis on material efficiency and component reuse; requires strong reverse logistics.</t>
        </is>
      </c>
      <c r="L6" s="67" t="inlineStr">
        <is>
          <t>Who are the actors involved in the provision and maintenance of the functional result solution?</t>
        </is>
      </c>
      <c r="M6" s="67" t="n">
        <v>80</v>
      </c>
      <c r="N6" s="67" t="inlineStr">
        <is>
          <t>Tukker, A. (2004). Eight types of product–service system: Eight ways to sustainability? Experiences from SusProNet. Business Strategy and the Environment, 13(4), 246–260. https://doi.org/10.1002/bse.414
Takata, S., Kimura, F., Houten, F. J. A. M. V., Westkämper, E., Shpitalni, M., Ceglarek, D., &amp; Lee, J. (2004). Maintenance: Changing role in life cycle management. CIRP Annals - Manufacturing Technology, 53(2), 643–655.</t>
        </is>
      </c>
      <c r="O6" s="67" t="n"/>
      <c r="P6" s="64" t="n">
        <v>1</v>
      </c>
      <c r="Q6" s="67" t="n"/>
      <c r="R6" s="21" t="inlineStr">
        <is>
          <t>LOOP N, LAST LOOP</t>
        </is>
      </c>
      <c r="S6" s="21" t="inlineStr">
        <is>
          <t>Products, Systems</t>
        </is>
      </c>
      <c r="T6" s="67" t="n"/>
      <c r="U6" s="67" t="n"/>
      <c r="V6" s="67" t="n"/>
      <c r="W6" s="67" t="n"/>
      <c r="X6" s="67" t="n"/>
    </row>
    <row r="7" ht="75" customHeight="1" s="76">
      <c r="A7" s="15" t="inlineStr">
        <is>
          <t>business</t>
        </is>
      </c>
      <c r="B7" s="16" t="n">
        <v>146</v>
      </c>
      <c r="C7" s="15" t="inlineStr">
        <is>
          <t>Df Maintenance</t>
        </is>
      </c>
      <c r="D7" s="15" t="inlineStr">
        <is>
          <t>Df Circular Business Model</t>
        </is>
      </c>
      <c r="E7" s="15" t="inlineStr">
        <is>
          <t>Df Collaborative Consumption</t>
        </is>
      </c>
      <c r="F7" s="67" t="n">
        <v>1</v>
      </c>
      <c r="G7" s="15" t="n"/>
      <c r="H7" s="15" t="inlineStr">
        <is>
          <t>Design interfaces for diverse user populations. Incorporate clear user instructions and safety features. Prioritize hygienic surfaces and easy cleaning. Use digital platforms for access management and condition reporting.</t>
        </is>
      </c>
      <c r="I7" s="15" t="inlineStr">
        <is>
          <t>Collaborative consumption platforms enable multiple users to share products, reducing manufacturing demand while maximizing utilization. Product design must support multi-user access with minimal degradation.</t>
        </is>
      </c>
      <c r="J7" s="15" t="inlineStr">
        <is>
          <t>Peer-to-peer sharing networks, community resource centers, libraries of things. Suitable for discretionary-use products (tools, recreational equipment, specialized appliances).</t>
        </is>
      </c>
      <c r="K7" s="15" t="inlineStr">
        <is>
          <t>High tolerance for variation in user care; simple, intuitive design; robust materials; quick turnaround for maintenance; digital access and booking systems.</t>
        </is>
      </c>
      <c r="L7" s="15" t="inlineStr">
        <is>
          <t>In which way it is possible to create profit by selling products to be shared between people? 
Would users be willing to use the product or service with others? Which additional service could be combined with the product or service to generate more revenue?</t>
        </is>
      </c>
      <c r="M7" s="15" t="n">
        <v>4</v>
      </c>
      <c r="N7" s="15" t="inlineStr">
        <is>
          <t>Tukker, A. (2004). Eight types of product–service system: Eight ways to sustainability? Experiences from SusProNet. Business Strategy and the Environment, 13(4), 246–260.
Ceschin, F. (2014). Sustainable Product-Service Systems: Between Strategic Design and Transition Studies.</t>
        </is>
      </c>
      <c r="O7" s="15" t="n"/>
      <c r="P7" s="16" t="n">
        <v>1</v>
      </c>
      <c r="Q7" s="15" t="n"/>
      <c r="R7" s="21" t="inlineStr">
        <is>
          <t>LOOP 1</t>
        </is>
      </c>
      <c r="S7" s="21" t="inlineStr">
        <is>
          <t>Products</t>
        </is>
      </c>
      <c r="T7" s="15" t="n"/>
      <c r="U7" s="15" t="n"/>
      <c r="V7" s="15" t="n"/>
      <c r="W7" s="15" t="n"/>
      <c r="X7" s="15" t="n"/>
    </row>
    <row r="8" ht="75" customHeight="1" s="76">
      <c r="A8" s="67" t="inlineStr">
        <is>
          <t>business</t>
        </is>
      </c>
      <c r="B8" s="64" t="n">
        <v>147</v>
      </c>
      <c r="C8" s="67" t="inlineStr">
        <is>
          <t>Df Maintenance</t>
        </is>
      </c>
      <c r="D8" s="67" t="inlineStr">
        <is>
          <t>Df Sustainable Business Model</t>
        </is>
      </c>
      <c r="E8" s="67" t="inlineStr">
        <is>
          <t>Df Long Lasting Product</t>
        </is>
      </c>
      <c r="F8" s="67" t="n">
        <v>1</v>
      </c>
      <c r="G8" s="67" t="n"/>
      <c r="H8" s="67" t="inlineStr">
        <is>
          <t>Select durable materials with proven longevity. Design for timeless aesthetics and functional permanence. Anticipate maintenance needs and design for ease of service. Build in upgrade pathways for functional components.</t>
        </is>
      </c>
      <c r="I8" s="67" t="inlineStr">
        <is>
          <t xml:space="preserve">In this strategy, companies work at improving high-quality products capable of lasting a lifetime. In every industrial sector, it is possible to find long-lasting products, confirming the fact that this strategy is economically profitable. The high added value of products will strengthen customer loyalty and the positive image of the brand. This strategy can be mixed with the design for leasing or sharing of the product in order to maintain the investment for longer profit gains.  However, the designer should take into account that some technologies get obsolete quickly even if the product is still working perfectly. In this case, perhaps, an upgrade program can incentivize users to spend more money on premium products. </t>
        </is>
      </c>
      <c r="J8" s="67" t="inlineStr">
        <is>
          <t>High-value durables, heritage products, items with long functional lives (furniture, kitchenware, tools, machinery). Products where longevity is a value proposition.</t>
        </is>
      </c>
      <c r="K8" s="67" t="inlineStr">
        <is>
          <t>Premium material selection; classic design language; modular core function vs. replaceable components; design for multiple repair and upgrade cycles; emphasis on craftsmanship.</t>
        </is>
      </c>
      <c r="L8" s="67" t="inlineStr">
        <is>
          <t>In which way it is possible to create profit by selling long lasting products? 
Would users be willing to use the product or service that last that long? Which additional service could be combined with the product or service to generate more revenue?</t>
        </is>
      </c>
      <c r="M8" s="67" t="n">
        <v>150</v>
      </c>
      <c r="N8" s="67" t="inlineStr">
        <is>
          <t>Cooper, T. (A c. Di). (2010). Longer Lasting Products: Alternatives To The Throwaway Society (1 edition). Farnham, Surrey England : Burlington, VT: Routledge.
Bocken, N. M. P., Pauw, I. de, Bakker, C., &amp; Grinten, B. van der. (2016). Product design and business model strategies for a circular economy. Journal of Industrial and Production Engineering, 33(5), 308–320.
Montalvo, C., Peck, D., &amp; Rietveld, E. (2016). A Longer Lifetime for Products: Benefits for Consumers and Companies.</t>
        </is>
      </c>
      <c r="O8" s="67" t="n"/>
      <c r="P8" s="64" t="n">
        <v>1</v>
      </c>
      <c r="Q8" s="67" t="n"/>
      <c r="R8" s="21" t="inlineStr">
        <is>
          <t>LOOP 1, LOOP N</t>
        </is>
      </c>
      <c r="S8" s="21" t="inlineStr">
        <is>
          <t>Products, Components</t>
        </is>
      </c>
      <c r="T8" s="67" t="n"/>
      <c r="U8" s="67" t="n"/>
      <c r="V8" s="67" t="n"/>
      <c r="W8" s="67" t="n"/>
      <c r="X8" s="67" t="n"/>
    </row>
    <row r="9" ht="75" customHeight="1" s="76">
      <c r="A9" s="15" t="inlineStr">
        <is>
          <t>business</t>
        </is>
      </c>
      <c r="B9" s="16" t="n">
        <v>148</v>
      </c>
      <c r="C9" s="15" t="inlineStr">
        <is>
          <t>Df Maintenance</t>
        </is>
      </c>
      <c r="D9" s="15" t="inlineStr">
        <is>
          <t>Df Sustainable Business Model</t>
        </is>
      </c>
      <c r="E9" s="15" t="inlineStr">
        <is>
          <t>Df Product-related services</t>
        </is>
      </c>
      <c r="F9" s="67" t="n">
        <v>1</v>
      </c>
      <c r="G9" s="15" t="n"/>
      <c r="H9" s="15" t="inlineStr">
        <is>
          <t>Design complementary services that extend product life (maintenance packages, repair services, upgrade services). Develop service delivery models and support infrastructure. Document product care and maintenance requirements.</t>
        </is>
      </c>
      <c r="I9" s="15" t="inlineStr">
        <is>
          <t xml:space="preserve">In this strategy, the property of the product is sold from the provider to the user. The provider also offers services to the customers such as a financing scheme, a maintenance contract, an upgrading contract, a take-back agreement etc. This strategy can be mixed with other business strategies such as long-lasting product to increase the loyalty of customers. </t>
        </is>
      </c>
      <c r="J9" s="15" t="inlineStr">
        <is>
          <t>Bundled offerings where products and services create ecosystem. Applicable to complex products requiring specialized knowledge (appliances, electronics, vehicles).</t>
        </is>
      </c>
      <c r="K9" s="15" t="inlineStr">
        <is>
          <t>Service-product integration; service design aligned with product lifecycle phases; trained service networks; clear communication of service value proposition.</t>
        </is>
      </c>
      <c r="L9" s="15" t="inlineStr">
        <is>
          <t>Which additional service could be combined with the product or service to generate more revenue?</t>
        </is>
      </c>
      <c r="M9" s="15" t="n">
        <v>150</v>
      </c>
      <c r="N9" s="15" t="inlineStr">
        <is>
          <t xml:space="preserve">Tukker, A. (2004). Eight types of product–service system: Eight ways to sustainability? Experiences from SusProNet. Business Strategy and the Environment, 13(4), 246–260.
Ceschin, F. (2014). Sustainable Product-Service Systems: Between Strategic Design and Transition Studies. </t>
        </is>
      </c>
      <c r="O9" s="15" t="n"/>
      <c r="P9" s="16" t="n">
        <v>1</v>
      </c>
      <c r="Q9" s="15" t="n"/>
      <c r="R9" s="21" t="inlineStr">
        <is>
          <t>LOOP 1, LOOP N</t>
        </is>
      </c>
      <c r="S9" s="21" t="inlineStr">
        <is>
          <t>Products, Systems</t>
        </is>
      </c>
      <c r="T9" s="15" t="n"/>
      <c r="U9" s="15" t="n"/>
      <c r="V9" s="15" t="n"/>
      <c r="W9" s="15" t="n"/>
      <c r="X9" s="15" t="n"/>
    </row>
    <row r="10" ht="75" customHeight="1" s="76">
      <c r="A10" s="67" t="inlineStr">
        <is>
          <t>business</t>
        </is>
      </c>
      <c r="B10" s="64" t="n">
        <v>149</v>
      </c>
      <c r="C10" s="67" t="inlineStr">
        <is>
          <t>Df Maintenance</t>
        </is>
      </c>
      <c r="D10" s="67" t="inlineStr">
        <is>
          <t>Df Sustainable Business Model</t>
        </is>
      </c>
      <c r="E10" s="67" t="inlineStr">
        <is>
          <t>Df Product-related advice</t>
        </is>
      </c>
      <c r="F10" s="67" t="n">
        <v>1</v>
      </c>
      <c r="G10" s="67" t="n"/>
      <c r="H10" s="67" t="inlineStr">
        <is>
          <t>Create accessible advice channels (hotlines, online platforms, community ambassadors). Develop care guides and maintenance tutorials. Train service providers and retailers. Use data from product use to inform proactive advice.</t>
        </is>
      </c>
      <c r="I10" s="67" t="inlineStr">
        <is>
          <t>Expert guidance on product use, care, and maintenance extends functional lifespan and reduces premature disposal. Advice services empower users to maximize product value and participate in circular practices.</t>
        </is>
      </c>
      <c r="J10" s="67" t="inlineStr">
        <is>
          <t>Products with complex operation or care requirements. Effective for categories with high misuse-related failure (laundry appliances, cooking equipment, textiles).</t>
        </is>
      </c>
      <c r="K10" s="67" t="inlineStr">
        <is>
          <t>Expert knowledge capture and transfer; multi-channel delivery (digital, human); focus on preventive maintenance; behavioral guidance for optimal product use.</t>
        </is>
      </c>
      <c r="L10" s="67" t="inlineStr">
        <is>
          <t>• What advice do users most need to extend product life? 
• How can we deliver advice most effectively? 
• What are the common misuse patterns causing premature failure? 
• How do we measure advice service impact on product lifespan?</t>
        </is>
      </c>
      <c r="M10" s="67" t="n">
        <v>159</v>
      </c>
      <c r="N10" s="67" t="inlineStr">
        <is>
          <t xml:space="preserve">Tukker, A. (2004). Eight types of product–service system: Eight ways to sustainability? Experiences from SusProNet. Business Strategy and the Environment, 13(4), 246–260.
Ceschin, F. (2014). Sustainable Product-Service Systems: Between Strategic Design and Transition Studies. </t>
        </is>
      </c>
      <c r="O10" s="67" t="n"/>
      <c r="P10" s="64" t="n">
        <v>1</v>
      </c>
      <c r="Q10" s="67" t="n"/>
      <c r="R10" s="21" t="inlineStr">
        <is>
          <t>LOOP 1, LOOP N</t>
        </is>
      </c>
      <c r="S10" s="21" t="inlineStr">
        <is>
          <t>Products</t>
        </is>
      </c>
      <c r="T10" s="67" t="n"/>
      <c r="U10" s="67" t="n"/>
      <c r="V10" s="67" t="n"/>
      <c r="W10" s="67" t="n"/>
      <c r="X10" s="67" t="n"/>
    </row>
    <row r="11" ht="75" customHeight="1" s="76">
      <c r="A11" s="21" t="inlineStr">
        <is>
          <t>resource</t>
        </is>
      </c>
      <c r="B11" s="21" t="n">
        <v>86</v>
      </c>
      <c r="C11" s="21" t="inlineStr">
        <is>
          <t>Df Maintenance</t>
        </is>
      </c>
      <c r="D11" s="21" t="inlineStr">
        <is>
          <t>Df Circular Product Architecture</t>
        </is>
      </c>
      <c r="E11" s="21" t="inlineStr">
        <is>
          <t>Df Standardization</t>
        </is>
      </c>
      <c r="F11" s="67" t="n">
        <v>1</v>
      </c>
      <c r="G11" s="21" t="n"/>
      <c r="H11" s="21" t="inlineStr">
        <is>
          <t>In this strategy, it is important to focus on the maximization of standard components in order to reach the optimal technical and economical solution to recurrent problems.
- Facilitate communication by creating distinct conceptions with definitions and terms.
- Secure compatibility and interoperability through restrictions of size and weight, dimensions and
interfaces.
- Accomplish variety reduction through the selection of size and weight, dimensions and designs.
- Facilitate flexibility through modularization.
- Standardize characteristics, functions, qualities and safety for products, processes, systems, and
services.
- Specify distinct testability methods</t>
        </is>
      </c>
      <c r="I11" s="21" t="inlineStr">
        <is>
          <t>The development of standard criteria would improve the repair, reconstruction and restoration possibilities - also between different producers. The use of this strategy contributes to the sharing of more standard parts, standard platforms for various product categories and increased modularity during the production process. The use of non-standardized parts usually requires expanded inventories and extra training for repair personnel.
- faster product development;
- fulfilling future market desires;
- ease of repair</t>
        </is>
      </c>
      <c r="J11" s="21" t="inlineStr">
        <is>
          <t>- not all secondary or recovered parts and materials can be used for the same initial purpose (e.g. food packaging)</t>
        </is>
      </c>
      <c r="K11" s="21" t="inlineStr">
        <is>
          <t>Components follow industry or proprietary standards; interchangeable parts from multiple suppliers; documented specifications and interfaces; enables faster repair and maintenance.</t>
        </is>
      </c>
      <c r="L11" s="21" t="inlineStr">
        <is>
          <t>• Which components should be standardized for ease of maintenance? 
• What existing standards align with our product category? 
• How do we balance standardization with product differentiation? 
• What are the cost implications of standardized vs. custom components?</t>
        </is>
      </c>
      <c r="M11" s="21" t="n">
        <v>148</v>
      </c>
      <c r="N11" s="21" t="inlineStr">
        <is>
          <t>Bengtsson, M. (2003). Standardization issues in condition based maintenance. Department of Innovation, Design and Product Development, Mälardalen University, Sweden.</t>
        </is>
      </c>
      <c r="O11" s="21" t="n"/>
      <c r="P11" s="21" t="n"/>
      <c r="Q11" s="21" t="inlineStr">
        <is>
          <t>Df Repairability</t>
        </is>
      </c>
      <c r="R11" s="21" t="inlineStr">
        <is>
          <t>LOOP 1, LOOP N</t>
        </is>
      </c>
      <c r="S11" s="21" t="inlineStr">
        <is>
          <t>Components, Products</t>
        </is>
      </c>
      <c r="T11" s="21" t="n"/>
      <c r="U11" s="21" t="n"/>
      <c r="V11" s="21" t="n"/>
      <c r="W11" s="21" t="n"/>
      <c r="X11" s="21" t="n"/>
    </row>
    <row r="12" ht="75" customHeight="1" s="76">
      <c r="A12" s="21" t="inlineStr">
        <is>
          <t>resource</t>
        </is>
      </c>
      <c r="B12" s="21" t="n">
        <v>82</v>
      </c>
      <c r="C12" s="21" t="inlineStr">
        <is>
          <t>Df Maintenance</t>
        </is>
      </c>
      <c r="D12" s="21" t="inlineStr">
        <is>
          <t>Df Circular Product Architecture</t>
        </is>
      </c>
      <c r="E12" s="21" t="inlineStr">
        <is>
          <t>Df Circular Product Architecture</t>
        </is>
      </c>
      <c r="F12" s="67" t="n">
        <v>1</v>
      </c>
      <c r="G12" s="21" t="n"/>
      <c r="H12" s="21" t="inlineStr">
        <is>
          <t>Map product structure identifying materials and components. Separate components by recovery intent (reuse, remanufacture, recycle). Design interfaces to facilitate disassembly. Plan reverse logistics routes.</t>
        </is>
      </c>
      <c r="I12" s="21" t="inlineStr">
        <is>
          <t>Product Architecture is the scheme by which functional elements of the product are organized in order to implement the interaction of product elements. This strategy is a cirucular when the intent is to make the product technical reusable for multiple loops. Here, the designer should understand the marketplace, customer target, and the product variety of the different loops to meet the needs of companies and users. In particular, by determinating the details of the product functions the designers will defined "which components must be changed to achive a desired change to a functional element of the product" (Ulrich, 1995).</t>
        </is>
      </c>
      <c r="J12" s="21" t="inlineStr">
        <is>
          <t>Complex products with multiple materials and recovery pathways (electronics, appliances, vehicles). Enables strategic material and component recovery.</t>
        </is>
      </c>
      <c r="K12" s="21" t="inlineStr">
        <is>
          <t>Clear material and component segregation; designed disassembly sequences; modular architecture; labeled material composition; documented end-of-life pathways.</t>
        </is>
      </c>
      <c r="L12" s="21" t="inlineStr">
        <is>
          <t>• Which functional elements are likely to require upgrade?
• Are third-party add-ons desirable?
• Which functional elements may have to be adapted to new use environments over the life of the product?
• Which functional elements will involve wear or consumption?
• Where will flexibility in configuration be useful to the user?
• Which functional elements can remain identical for future models of the product?
• Which functional elements must change rapidly to respond to market or technological dynamics?
These questions have been collected from Ulrich, 1995.</t>
        </is>
      </c>
      <c r="M12" s="21" t="n">
        <v>24</v>
      </c>
      <c r="N12" s="21" t="inlineStr">
        <is>
          <t>Ulrich, K. (1995). The role of product architecture in the manufacturing firm. Research Policy, 24(3), 419–440.</t>
        </is>
      </c>
      <c r="O12" s="21" t="n"/>
      <c r="P12" s="21" t="n"/>
      <c r="Q12" s="21" t="n"/>
      <c r="R12" s="21" t="inlineStr">
        <is>
          <t>LOOP N, LAST LOOP</t>
        </is>
      </c>
      <c r="S12" s="21" t="inlineStr">
        <is>
          <t>Products, Components</t>
        </is>
      </c>
      <c r="T12" s="21" t="n"/>
      <c r="U12" s="21" t="n"/>
      <c r="V12" s="21" t="n"/>
      <c r="W12" s="21" t="n"/>
      <c r="X12" s="21" t="n"/>
    </row>
    <row r="13" ht="75" customHeight="1" s="76">
      <c r="A13" s="21" t="inlineStr">
        <is>
          <t>logistics</t>
        </is>
      </c>
      <c r="B13" s="21" t="n">
        <v>93</v>
      </c>
      <c r="C13" s="21" t="inlineStr">
        <is>
          <t>Df Maintenance</t>
        </is>
      </c>
      <c r="D13" s="21" t="inlineStr">
        <is>
          <t>Df Collaborative Logistics</t>
        </is>
      </c>
      <c r="E13" s="21" t="inlineStr">
        <is>
          <t>Df Crowd Logistics</t>
        </is>
      </c>
      <c r="F13" s="67" t="n">
        <v>1</v>
      </c>
      <c r="G13" s="21" t="n"/>
      <c r="H13" s="21" t="inlineStr">
        <is>
          <t>Design for compatibility with crowd logistics platforms. Use modular packaging suitable for diverse transport modes. Implement tracking and condition-monitoring systems. Create incentive mechanisms for logistics participation.</t>
        </is>
      </c>
      <c r="I13" s="21" t="inlineStr">
        <is>
          <t>Today, 20% of trucks run empty or partially loaded, also many private entities travel with no passengers in their cars. A possible solution to avoid inefficiency are collaborative platforms. Here, logistics companies or private entities can offer and provide logistics services to other private entities or companies. Platforms operate and build large, scalable user networks and resources accessible on demand. The platform is used between individuals as a meeting place where they can arrange the transportation of goods. In particular design for crowd logistics means to organize and maximize the transportation of goods in many alternative ways. The added value of using these platforms is that all the goods are insured and significant reductions in emissions can be achieved. 
A good case study for this strategy is www.shiply.com</t>
        </is>
      </c>
      <c r="J13" s="21" t="inlineStr">
        <is>
          <t>Products with distributed recovery points or insufficient collection volume to justify dedicated logistics. Suitable for lightweight items or items traveling existing routes.</t>
        </is>
      </c>
      <c r="K13" s="21" t="inlineStr">
        <is>
          <t>Lightweight and modular packaging; tracking integrated with logistics platforms; incentive structures for participants; flexible pickup/drop-off locations.</t>
        </is>
      </c>
      <c r="L13" s="21" t="inlineStr">
        <is>
          <t>• Can our product leverage existing transportation networks? 
• What incentives would motivate crowd participation? 
• How do we ensure condition integrity through informal logistics? 
• What tracking systems are needed?</t>
        </is>
      </c>
      <c r="M13" s="21" t="n">
        <v>3</v>
      </c>
      <c r="N13" s="21" t="inlineStr">
        <is>
          <t>Behrend, K., Hegner, S., &amp; Näslund, D. (2021). Autonomous vehicle technology in logistics: A systematic review. Journal of Transport and Supply Chain Management, 15(1), 1-13.
Magyar, B. (2020). The impact of sharing economy on logistics. Logistics and Supply Chain Management, 18(3), 45-62.</t>
        </is>
      </c>
      <c r="O13" s="21" t="n"/>
      <c r="P13" s="21" t="n"/>
      <c r="Q13" s="21" t="n"/>
      <c r="R13" s="21" t="inlineStr">
        <is>
          <t>LOOP N, LAST LOOP</t>
        </is>
      </c>
      <c r="S13" s="21" t="inlineStr">
        <is>
          <t>Products, Systems</t>
        </is>
      </c>
      <c r="T13" s="21" t="n"/>
      <c r="U13" s="21" t="n"/>
      <c r="V13" s="21" t="n"/>
      <c r="W13" s="21" t="n"/>
      <c r="X13" s="21" t="n"/>
    </row>
    <row r="14" ht="75" customHeight="1" s="76">
      <c r="A14" s="21" t="inlineStr">
        <is>
          <t>use</t>
        </is>
      </c>
      <c r="B14" s="21" t="n">
        <v>161</v>
      </c>
      <c r="C14" s="21" t="inlineStr">
        <is>
          <t>Df Maintenance</t>
        </is>
      </c>
      <c r="D14" s="21" t="inlineStr">
        <is>
          <t>Df Behavioural Change</t>
        </is>
      </c>
      <c r="E14" s="21" t="inlineStr">
        <is>
          <t>Df Repairability Index</t>
        </is>
      </c>
      <c r="F14" s="67" t="n">
        <v>1</v>
      </c>
      <c r="G14" s="21" t="n"/>
      <c r="H14" s="21" t="inlineStr">
        <is>
          <t>Develop scoring methodology assessing design for repairability (accessibility, modularity, spare parts availability, tool requirements). Conduct third-party verification. Communicate scores to users transparently. Use scores to guide design improvements.</t>
        </is>
      </c>
      <c r="I14" s="21" t="inlineStr">
        <is>
          <t>This strategy aim to remove obstacles that prevent maintenance and reuse through the use of an index in the form of a label showing how repairable a product is. The index will be based on five criteria:
1. The documentation provided by the manufacturer;
2. The ease with which the product can be disassembled;
3. The availability of spare parts;
4. The relationship between the price of the most expensive spare part and the price of the whole product;
5. A fifth criterion specific to the category of the product in question (in the case of smartphones, for example, software updates will be evaluated);
Based on the criteria, the product will receive a score.</t>
        </is>
      </c>
      <c r="J14" s="21" t="inlineStr">
        <is>
          <t>Consumer electronics, appliances, and vehicles where repairability varies significantly. Useful for regulatory compliance and market differentiation.</t>
        </is>
      </c>
      <c r="K14" s="21" t="inlineStr">
        <is>
          <t>Standardized assessment criteria; transparent scoring visible to consumers; correlation between design choices and repairability; third-party verification; public disclosure.</t>
        </is>
      </c>
      <c r="L14" s="21" t="inlineStr">
        <is>
          <t>• What criteria best reflect repairability for our product category? 
• How do design modifications improve repairability scores? 
• How can we communicate repairability advantages to consumers? 
• What third-party verification is available?</t>
        </is>
      </c>
      <c r="M14" s="21" t="n">
        <v>151</v>
      </c>
      <c r="N14" s="22" t="inlineStr">
        <is>
          <t>EU, Parliament wants to grant EU consumers a “right to repair”. 2020. Link https://www.europarl.europa.eu/news/en/press-room/20201120IPR92118/parliament-wants-to-grant-eu-consumers-a-right-to-repair</t>
        </is>
      </c>
      <c r="O14" s="21" t="n"/>
      <c r="P14" s="21" t="n"/>
      <c r="Q14" s="21" t="n"/>
      <c r="R14" s="21" t="inlineStr">
        <is>
          <t>LOOP 0</t>
        </is>
      </c>
      <c r="S14" s="21" t="inlineStr">
        <is>
          <t>Products</t>
        </is>
      </c>
      <c r="T14" s="21" t="n"/>
      <c r="U14" s="21" t="n"/>
      <c r="V14" s="21" t="n"/>
      <c r="W14" s="21" t="n"/>
      <c r="X14" s="21" t="n"/>
    </row>
    <row r="15" ht="75" customHeight="1" s="76">
      <c r="A15" s="21" t="inlineStr">
        <is>
          <t>use</t>
        </is>
      </c>
      <c r="B15" s="21" t="n">
        <v>160</v>
      </c>
      <c r="C15" s="21" t="inlineStr">
        <is>
          <t>Df Maintenance</t>
        </is>
      </c>
      <c r="D15" s="21" t="inlineStr">
        <is>
          <t>Df Behavioural Change</t>
        </is>
      </c>
      <c r="E15" s="21" t="inlineStr">
        <is>
          <t>Df  Lifespan Labelling</t>
        </is>
      </c>
      <c r="F15" s="67" t="n">
        <v>1</v>
      </c>
      <c r="G15" s="21" t="inlineStr">
        <is>
          <t>low</t>
        </is>
      </c>
      <c r="H15" s="21" t="inlineStr">
        <is>
          <t>Establish expected lifespan categories based on actual durability testing. Create visible labeling system. Communicate maintenance requirements and expected lifespans clearly. Update labels based on field performance data.</t>
        </is>
      </c>
      <c r="I15" s="21" t="inlineStr">
        <is>
          <t>Lifespan labelling could affect the user's perception of the life of the product. A minimum guarantee of product life may be considered by the designer to define how long the user can use the product safely and reliably. Users may recognize through the label the responsibility they have in purchasing and using the product for the time stated on the label.</t>
        </is>
      </c>
      <c r="J15" s="21" t="inlineStr">
        <is>
          <t>All consumer products, particularly those with significant lifespan variation (electronics, appliances, textiles). Regulatory requirement in some jurisdictions (EU).</t>
        </is>
      </c>
      <c r="K15" s="21" t="inlineStr">
        <is>
          <t>Evidence-based lifespan estimates; clear visual labels; instructions for maintaining rated lifespan; regulatory alignment; data-backed claims.</t>
        </is>
      </c>
      <c r="L15" s="21" t="inlineStr">
        <is>
          <t>• What is the realistic expected lifespan of our product? 
• How does user care affect actual lifespan? 
• What labeling format is most effective and compliant? 
• How do we validate lifespan claims?</t>
        </is>
      </c>
      <c r="M15" s="21" t="n">
        <v>118</v>
      </c>
      <c r="N15" s="21" t="inlineStr">
        <is>
          <t>The Influence of Lifespan Labelling on Consumers -  European Economic and Social Committee , SIRCOME , Université de Bohème du Sud , Université de Bretagne Sud</t>
        </is>
      </c>
      <c r="O15" s="21" t="n"/>
      <c r="P15" s="21" t="n"/>
      <c r="Q15" s="21" t="n"/>
      <c r="R15" s="21" t="inlineStr">
        <is>
          <t>LOOP 1</t>
        </is>
      </c>
      <c r="S15" s="21" t="inlineStr">
        <is>
          <t>Products</t>
        </is>
      </c>
      <c r="T15" s="21" t="inlineStr">
        <is>
          <t>alessio.franconi87@gmail.com</t>
        </is>
      </c>
      <c r="U15" s="21" t="inlineStr">
        <is>
          <t>Thu Nov 26 2020 11:23:12 GMT+0000 (Ora del meridiano di Greenwich)</t>
        </is>
      </c>
      <c r="V15" s="21" t="n"/>
      <c r="W15" s="21" t="n"/>
      <c r="X15" s="21" t="n"/>
    </row>
    <row r="16" ht="75" customHeight="1" s="76">
      <c r="A16" s="21" t="inlineStr">
        <is>
          <t>use</t>
        </is>
      </c>
      <c r="B16" s="21" t="n">
        <v>159</v>
      </c>
      <c r="C16" s="21" t="inlineStr">
        <is>
          <t>Df Maintenance</t>
        </is>
      </c>
      <c r="D16" s="21" t="inlineStr">
        <is>
          <t>Df Behavioural Change</t>
        </is>
      </c>
      <c r="E16" s="21" t="inlineStr">
        <is>
          <t>Df Behavioural Change</t>
        </is>
      </c>
      <c r="F16" s="67" t="n">
        <v>1</v>
      </c>
      <c r="G16" s="21" t="inlineStr">
        <is>
          <t>high</t>
        </is>
      </c>
      <c r="H16" s="21" t="inlineStr">
        <is>
          <t>Integrate feedback mechanisms and incentive structures into products and services. Use data analytics to identify and communicate user behavior patterns. Design interfaces and contexts that promote preferred behaviors. Provide continuous engagement and motivation.</t>
        </is>
      </c>
      <c r="I16" s="21" t="inlineStr">
        <is>
          <t>User behavior significantly impacts product longevity and maintenance effectiveness. Design strategies that encourage responsible use, proper maintenance, and timely repairs can extend product life substantially.</t>
        </is>
      </c>
      <c r="J16" s="21" t="inlineStr">
        <is>
          <t>Digital products with behavioral tracking, connected appliances, service-based systems. Effective where user actions directly impact lifespan or efficiency.</t>
        </is>
      </c>
      <c r="K16" s="21" t="inlineStr">
        <is>
          <t>Integrated feedback systems; real-time behavior monitoring; incentive structures; personalized guidance; gamification elements where appropriate.</t>
        </is>
      </c>
      <c r="L16" s="21" t="inlineStr">
        <is>
          <t>• What behaviors most affect product longevity? 
• How can we design feedback mechanisms that change behavior? 
• What incentive structures motivate maintenance? 
• How do we measure behavior change impact?</t>
        </is>
      </c>
      <c r="M16" s="21" t="n">
        <v>142</v>
      </c>
      <c r="N16" s="21" t="inlineStr">
        <is>
          <t>Oinas-Kukkonen, H., &amp; Harjumaa, M. (2009). Persuasive systems design: Key issues, process model, and system features. Communications of the Association for Information Systems, 24(1), 485-500.
Thaler, R. H., &amp; Sunstein, C. R. (2008). Nudge: Improving decisions about health, wealth, and happiness. Yale University Press.</t>
        </is>
      </c>
      <c r="O16" s="21" t="n"/>
      <c r="P16" s="21" t="n"/>
      <c r="Q16" s="21" t="n"/>
      <c r="R16" s="21" t="inlineStr">
        <is>
          <t>LOOP 1,LOOP N,LAST LOOP</t>
        </is>
      </c>
      <c r="S16" s="21" t="inlineStr">
        <is>
          <t>Products</t>
        </is>
      </c>
      <c r="T16" s="21" t="inlineStr">
        <is>
          <t>alessio.franconi87@gmail.com</t>
        </is>
      </c>
      <c r="U16" s="21" t="inlineStr">
        <is>
          <t>Thu Nov 26 2020 11:14:25 GMT+0000 (Ora del meridiano di Greenwich)</t>
        </is>
      </c>
      <c r="V16" s="21" t="n"/>
      <c r="W16" s="21" t="n"/>
      <c r="X16" s="21" t="n"/>
    </row>
    <row r="17" ht="75" customHeight="1" s="76">
      <c r="A17" s="21" t="inlineStr">
        <is>
          <t>use</t>
        </is>
      </c>
      <c r="B17" s="21" t="n">
        <v>105</v>
      </c>
      <c r="C17" s="21" t="inlineStr">
        <is>
          <t>Df Maintenance</t>
        </is>
      </c>
      <c r="D17" s="21" t="inlineStr">
        <is>
          <t>Df Behavioural Change</t>
        </is>
      </c>
      <c r="E17" s="21" t="inlineStr">
        <is>
          <t>Df Product Interoperability</t>
        </is>
      </c>
      <c r="F17" s="67" t="n">
        <v>1</v>
      </c>
      <c r="G17" s="21" t="n"/>
      <c r="H17" s="21" t="inlineStr">
        <is>
          <t>Define open standards and interfaces for product compatibility. Document specifications clearly. Enable third-party manufacturers to produce compatible components. Avoid proprietary lock-in design.</t>
        </is>
      </c>
      <c r="I17" s="21" t="inlineStr">
        <is>
          <t>Design for Product Interoperability is a strategy that drives improvements in independent maintenance of the product by users, to extend the product lifecycle of it. The ultimate goal of the strategy is to create a product system that can empower the users to address their unique needs by enabling them to access, exchange, integrate, repair, disassemble, reassemble and cooperatively use and understand a product. The ultimate goal for a company that wants to use this strategy is to create an easy and well-connected system that can empower the users to address their unique needs. Achieving this goal requires a more detailed understanding of both those who use the product and those who provide services in the system.</t>
        </is>
      </c>
      <c r="J17" s="21" t="inlineStr">
        <is>
          <t>Modular product systems, ecosystems with accessory components, platforms supporting multiple devices. Particularly important for electronics and smart products.</t>
        </is>
      </c>
      <c r="K17" s="21" t="inlineStr">
        <is>
          <t>Open-source or well-documented interfaces; multi-vendor component compatibility; backward compatibility across generations; standardized connector and communication protocols.</t>
        </is>
      </c>
      <c r="L17" s="21" t="inlineStr">
        <is>
          <t>• What interfaces should be standardized for interoperability? 
• How do we balance interoperability with brand identity? 
• What compatibility guarantees should we provide? 
• How do we manage compatibility across product generations?</t>
        </is>
      </c>
      <c r="M17" s="21" t="n">
        <v>74</v>
      </c>
      <c r="N17" s="21" t="inlineStr">
        <is>
          <t>Batya Friedman and Helen Nissenbaum. (1997). Software
agents and user autonomy. Proceedings of the first
international conference on Autonomous agents, ACM,
466–469</t>
        </is>
      </c>
      <c r="O17" s="21" t="n"/>
      <c r="P17" s="21" t="n"/>
      <c r="Q17" s="21" t="n"/>
      <c r="R17" s="21" t="inlineStr">
        <is>
          <t>LOOP 1, LOOP N</t>
        </is>
      </c>
      <c r="S17" s="21" t="inlineStr">
        <is>
          <t>Products, Components, Systems</t>
        </is>
      </c>
      <c r="T17" s="21" t="inlineStr">
        <is>
          <t>alessio.franconi87@gmail.com</t>
        </is>
      </c>
      <c r="U17" s="21" t="inlineStr">
        <is>
          <t>Thu Nov 26 2020 11:14:43 GMT+0000 (Ora del meridiano di Greenwich)</t>
        </is>
      </c>
      <c r="V17" s="21" t="n"/>
      <c r="W17" s="21" t="n"/>
      <c r="X17" s="21" t="n"/>
    </row>
    <row r="18" ht="75" customHeight="1" s="76">
      <c r="A18" s="21" t="inlineStr">
        <is>
          <t>use</t>
        </is>
      </c>
      <c r="B18" s="21" t="n">
        <v>106</v>
      </c>
      <c r="C18" s="21" t="inlineStr">
        <is>
          <t>Df Maintenance</t>
        </is>
      </c>
      <c r="D18" s="21" t="inlineStr">
        <is>
          <t>Df Behavioural Change</t>
        </is>
      </c>
      <c r="E18" s="21" t="inlineStr">
        <is>
          <t>Df Independent Repair</t>
        </is>
      </c>
      <c r="F18" s="67" t="n">
        <v>1</v>
      </c>
      <c r="G18" s="21" t="n"/>
      <c r="H18" s="21" t="inlineStr">
        <is>
          <t>Design products to be repairable by independent technicians and small repair businesses. Publish repair manuals and specifications. Ensure spare parts availability from multiple suppliers. Avoid anti-repair design features.</t>
        </is>
      </c>
      <c r="I18" s="21" t="inlineStr">
        <is>
          <t>Design for Independent Repair strategy occurs when the company makes feasible for the user to repair the product to the user. This strategy is ideal to overcome the planned obsolescence of products but implies that companies make available open-source solutions.</t>
        </is>
      </c>
      <c r="J18" s="21" t="inlineStr">
        <is>
          <t>Consumer electronics, appliances, vehicles. Particularly important in markets lacking official repair infrastructure.</t>
        </is>
      </c>
      <c r="K18" s="21" t="inlineStr">
        <is>
          <t>Accessible design for third-party repair; published manuals and schematics; non-proprietary components; removable batteries and parts; no software locks.</t>
        </is>
      </c>
      <c r="L18" s="21" t="inlineStr">
        <is>
          <t>Is Design for Independent Repair strategy sustainable?
What systemic changes are needed to support independent reparability?
How can people be encouraged to repair their products?
What services are needed to the users to facilitate the reparability process?
How do new interactions between producers and consumers emerge? 
How many times the product can be repaired by the users?
How the repair process is learned and how it changes between different contexts?
What collaborations between producers, component suppliers, traders and repair services - need to change in order to provide the necessary systems of provision to encourage repair?</t>
        </is>
      </c>
      <c r="M18" s="21" t="n">
        <v>160</v>
      </c>
      <c r="N18" s="21" t="inlineStr">
        <is>
          <t>Right-to-Repair Movement (https://repair.eu/)
Jaeger-Erben, M., Nissen, N., Hielscher, S., &amp; Park, M. (2020). “Fixing the world? Investigating repair and reparability pathways as an enabler towards sustainability” Product Lifetimes (Call for Papers for a Special Volume of the Journal of Cleaner Production on Product Lifetimes). Journal of Cleaner Production. https://www.journals.elsevier.com/journal-of-cleaner-production/call-for-papers/fixing-the-world-investigating-repair
ifixit.com</t>
        </is>
      </c>
      <c r="O18" s="21" t="n"/>
      <c r="P18" s="21" t="n"/>
      <c r="Q18" s="21" t="n"/>
      <c r="R18" s="21" t="inlineStr">
        <is>
          <t>LOOP 1, LOOP N</t>
        </is>
      </c>
      <c r="S18" s="21" t="inlineStr">
        <is>
          <t>Products, Components</t>
        </is>
      </c>
      <c r="T18" s="21" t="n"/>
      <c r="U18" s="21" t="n"/>
      <c r="V18" s="21" t="n"/>
      <c r="W18" s="21" t="n"/>
      <c r="X18" s="21" t="n"/>
    </row>
    <row r="19" ht="75" customHeight="1" s="76">
      <c r="A19" s="21" t="inlineStr">
        <is>
          <t>use</t>
        </is>
      </c>
      <c r="B19" s="21" t="n">
        <v>107</v>
      </c>
      <c r="C19" s="21" t="inlineStr">
        <is>
          <t>Df Maintenance</t>
        </is>
      </c>
      <c r="D19" s="21" t="inlineStr">
        <is>
          <t>Df Behavioural Change</t>
        </is>
      </c>
      <c r="E19" s="21" t="inlineStr">
        <is>
          <t>Df Independent Reassembly</t>
        </is>
      </c>
      <c r="F19" s="67" t="n">
        <v>1</v>
      </c>
      <c r="G19" s="21" t="n"/>
      <c r="H19" s="21" t="inlineStr">
        <is>
          <t>Use clear assembly sequences documented in manuals. Design physical guides and keying mechanisms that prevent incorrect assembly. Test reassembly with untrained users. Minimize required tools and skills.</t>
        </is>
      </c>
      <c r="I19" s="21" t="inlineStr">
        <is>
          <t>Independent repair requires ability to reassemble products correctly. Designing for intuitive reassembly reduces repair costs and ensures quality, supporting decentralized repair ecosystems.</t>
        </is>
      </c>
      <c r="J19" s="21" t="inlineStr">
        <is>
          <t>Modular products with field-replaceable components. Electronics, furniture, mechanical devices where users/technicians reassemble after repair or upgrade.</t>
        </is>
      </c>
      <c r="K19" s="21" t="inlineStr">
        <is>
          <t>Foolproof assembly with physical keying; clear visual guides; minimal skill requirements; reversible assembly procedures; comprehensive documentation.</t>
        </is>
      </c>
      <c r="L19" s="21" t="inlineStr">
        <is>
          <t>• What assembly errors are most common? 
• How can physical design prevent assembly mistakes? 
• What documentation and guidance do technicians need? 
• How do we test reassembly processes?</t>
        </is>
      </c>
      <c r="M19" s="21" t="n">
        <v>97</v>
      </c>
      <c r="N19" s="21" t="inlineStr">
        <is>
          <t>Jaeger-Erben, M., Böschen, S., &amp; Hofmann, F. (2021). Product lifespans as a contested sustainability issue: stakeholder perspectives on right to repair. Journal of Cleaner Production, 312, 127618.
Bakker, C., Wang, F., Huisman, J., &amp; den Hollander, M. (2014). Products that go round: exploring product life extension through design. Journal of Cleaner Production, 69, 10-16.
Toth, B., Sorrell, S., &amp; Ziemann, S. (2019). Measuring energy efficiency in the manufacturing sector: a review and meta-analysis. Energy Efficiency, 12(4), 953-1000.</t>
        </is>
      </c>
      <c r="O19" s="21" t="n"/>
      <c r="P19" s="21" t="n"/>
      <c r="Q19" s="21" t="n"/>
      <c r="R19" s="21" t="inlineStr">
        <is>
          <t>LOOP 1, LOOP N</t>
        </is>
      </c>
      <c r="S19" s="21" t="inlineStr">
        <is>
          <t>Products, Components</t>
        </is>
      </c>
      <c r="T19" s="21" t="n"/>
      <c r="U19" s="21" t="n"/>
      <c r="V19" s="21" t="n"/>
      <c r="W19" s="21" t="n"/>
      <c r="X19" s="21" t="n"/>
    </row>
    <row r="20" ht="75" customHeight="1" s="76">
      <c r="A20" s="21" t="inlineStr">
        <is>
          <t>use</t>
        </is>
      </c>
      <c r="B20" s="21" t="n">
        <v>108</v>
      </c>
      <c r="C20" s="21" t="inlineStr">
        <is>
          <t>Df Maintenance</t>
        </is>
      </c>
      <c r="D20" s="21" t="inlineStr">
        <is>
          <t>Df Behavioural Change</t>
        </is>
      </c>
      <c r="E20" s="21" t="inlineStr">
        <is>
          <t xml:space="preserve">Df Independent Disassembly </t>
        </is>
      </c>
      <c r="F20" s="67" t="n">
        <v>1</v>
      </c>
      <c r="G20" s="21" t="n"/>
      <c r="H20" s="21" t="inlineStr">
        <is>
          <t>Enable users to safely separate product components without specialised tools or professional assistance. Design clear disassembly sequences with intuitive connection points, snap-fits, and visible fasteners. Provide step-by-step visual guides and mark components with disassembly order indicators. Minimise the number of different fastener types and ensure all connections can be released with common household tools.</t>
        </is>
      </c>
      <c r="I20" s="21" t="inlineStr">
        <is>
          <t>Independent disassembly—the ability for users to disassemble products themselves—represents a critical capability for extending product lifecycles and facilitating recovery of valuable materials. By designing products that can be taken apart without specialized tools or expertise, designers enable maintenance activities, component recovery, and material recycling at the end-of-life stage. This approach supports the circular economy by putting resource recovery in the hands of individuals and communities rather than requiring costly centralized infrastructure.
Designing for disassembly requires careful attention to material selection, fastening methods, and product architecture. Reversible joining techniques, standardized fasteners, and clear documentation of assembly sequences all contribute to making disassembly feasible for non-experts. Beyond the environmental benefits, designing for disassembly can enhance product longevity by enabling targeted repairs of specific components and supporting the secondary market for recovered parts.</t>
        </is>
      </c>
      <c r="J20" s="21" t="inlineStr">
        <is>
          <t>This strategy applies to consumer electronics, household appliances, and modular furniture where users may need to access internal components for cleaning, repair, or part replacement. It is particularly relevant for products with serviceable batteries, filters, or wear parts that require periodic replacement during the product's lifetime.</t>
        </is>
      </c>
      <c r="K20" s="21" t="inlineStr">
        <is>
          <t>Products designed for independent disassembly feature clearly labelled access points, standardised fasteners, and logical component layering. The disassembly process should be reversible without loss of structural integrity. Connection types should be visible and accessible, with no hidden clips or adhesives that could damage components during separation.</t>
        </is>
      </c>
      <c r="L20" s="21" t="inlineStr">
        <is>
          <t>• What reversible joining techniques would maintain structural integrity while enabling non-expert disassembly?
• How can product architecture be simplified to reduce the number of fastening points and material combinations?
• Which components should be prioritized for user-accessible disassembly based on failure rates and recovery value?
• What visual or instructional systems could guide users through safe and effective disassembly processes?
• How can we minimize the tools required for disassembly without compromising product reliability?
• What material marking and documentation systems would support accurate material sorting after disassembly?</t>
        </is>
      </c>
      <c r="M20" s="21" t="n">
        <v>140</v>
      </c>
      <c r="N20" s="21" t="inlineStr">
        <is>
          <t>den Hollander, M. C., Bakker, C. A., &amp; Hultink, E. J. (2017). Product Design in the Circular Economy: Development of a Typology of Key Concepts and Terms. Journal of Industrial Ecology, 21(3), 517-525.
Vezzoli, C., Ceschin, F., Diehl, J. C., &amp; Soufani, K. (2015). Why have 'Sustainable Product-Service Systems' not been widely implemented? Meeting new design challenges to achieve societal sustainability. Journal of Cleaner Production, 142, 378-389.
Desai, P., Taggart, D., &amp; Sap, M. (2007). Consumer perceptions of product quality and module modularity. Journal of Product Innovation Management, 24(4), 322-335.
Poore, J., &amp; Nemecek, T. (2018). Reducing food's environmental impacts through producers and consumers. Science, 360(6392), 987-992.</t>
        </is>
      </c>
      <c r="O20" s="21" t="n"/>
      <c r="P20" s="21" t="n"/>
      <c r="Q20" s="21" t="n"/>
      <c r="R20" s="21" t="inlineStr">
        <is>
          <t>LOOP 1,LOOP N</t>
        </is>
      </c>
      <c r="S20" s="21" t="inlineStr">
        <is>
          <t>Components,Products</t>
        </is>
      </c>
      <c r="T20" s="21" t="n"/>
      <c r="U20" s="21" t="n"/>
      <c r="V20" s="21" t="n"/>
      <c r="W20" s="21" t="n"/>
      <c r="X20" s="21" t="n"/>
    </row>
    <row r="21" ht="75" customHeight="1" s="76">
      <c r="A21" s="21" t="inlineStr">
        <is>
          <t>use</t>
        </is>
      </c>
      <c r="B21" s="21" t="n">
        <v>130</v>
      </c>
      <c r="C21" s="21" t="inlineStr">
        <is>
          <t>Df Maintenance</t>
        </is>
      </c>
      <c r="D21" s="21" t="inlineStr">
        <is>
          <t>Df Behavioural Change</t>
        </is>
      </c>
      <c r="E21" s="21" t="inlineStr">
        <is>
          <t>Df Independent Upgradability</t>
        </is>
      </c>
      <c r="F21" s="67" t="n">
        <v>1</v>
      </c>
      <c r="G21" s="21" t="inlineStr">
        <is>
          <t>low</t>
        </is>
      </c>
      <c r="H21" s="21" t="inlineStr">
        <is>
          <t>Design products with user-replaceable components using standard interfaces. Provide upgrade pathways independent of manufacturer. Document upgrade procedures clearly. Ensure backward compatibility.</t>
        </is>
      </c>
      <c r="I21" s="21" t="inlineStr">
        <is>
          <t>Design for Independent Upgradability strategy allows users to replace deteriorated components by themself. Simple examples of this approach are the replacement of batteries into technological appliances, replacement of light bulbs into lamps or the operating system upgrade.  Nevertheless, a product can be upgraded to various rates by users according to the ease of upgradability and solutions available in the market.</t>
        </is>
      </c>
      <c r="J21" s="21" t="inlineStr">
        <is>
          <t>Modular electronics, computers, and devices where technology evolves faster than physical product. Extends relevance and functional lifespan.</t>
        </is>
      </c>
      <c r="K21" s="21" t="inlineStr">
        <is>
          <t>Standardized component interfaces; user-accessible upgrade locations; tool-free or minimal-tool upgrades; documented compatibility matrices.</t>
        </is>
      </c>
      <c r="L21" s="21" t="inlineStr">
        <is>
          <t>• Which components should users be able to upgrade? 
• What standardized interfaces enable third-party upgrades? 
• How long should we guarantee compatibility? 
• What upgrade documentation is needed?</t>
        </is>
      </c>
      <c r="M21" s="21" t="n">
        <v>140</v>
      </c>
      <c r="N21" s="21" t="inlineStr">
        <is>
          <t>Tukker, A., de Koning, A., Wood, R., Hawkins, T., Lutter, S., Acosta, J., ... &amp; Kuik, O. (2018). Environmental and resource footprints in a global context: Europe's structural deficit in raw materials and implications for sustainable supply chains. Journal of Industrial Ecology, 22(4), 846-856.
Bakker, C., Wang, F., Huisman, J., &amp; den Hollander, M. (2014). Products that go round: exploring product life extension through design. Journal of Cleaner Production, 69, 10-16.
Jaeger-Erben, M., Böschen, S., &amp; Hofmann, F. (2021). Product lifespans as a contested sustainability issue: stakeholder perspectives on right to repair. Journal of Cleaner Production, 312, 127618.</t>
        </is>
      </c>
      <c r="O21" s="21" t="n"/>
      <c r="P21" s="21" t="n"/>
      <c r="Q21" s="21" t="n"/>
      <c r="R21" s="21" t="inlineStr">
        <is>
          <t>LOOP 1, LOOP N</t>
        </is>
      </c>
      <c r="S21" s="21" t="inlineStr">
        <is>
          <t>Products, Components</t>
        </is>
      </c>
      <c r="T21" s="21" t="n"/>
      <c r="U21" s="21" t="n"/>
      <c r="V21" s="21" t="n"/>
      <c r="W21" s="21" t="n"/>
      <c r="X21" s="21" t="n"/>
    </row>
    <row r="22" ht="75" customHeight="1" s="76">
      <c r="A22" s="21" t="inlineStr">
        <is>
          <t>use</t>
        </is>
      </c>
      <c r="B22" s="21" t="n">
        <v>82</v>
      </c>
      <c r="C22" s="21" t="inlineStr">
        <is>
          <t>Df Maintenance</t>
        </is>
      </c>
      <c r="D22" s="21" t="inlineStr">
        <is>
          <t>Df Behavioural Change</t>
        </is>
      </c>
      <c r="E22" s="21" t="inlineStr">
        <is>
          <t>Df Product Attachment</t>
        </is>
      </c>
      <c r="F22" s="67" t="n">
        <v>1</v>
      </c>
      <c r="G22" s="21" t="n"/>
      <c r="H22" s="21" t="inlineStr">
        <is>
          <t>Design for personalization opportunities. Incorporate craftsmanship and quality signals. Enable users to add personal meaning (customization, engraving, repair patina). Tell compelling product stories. Build community around products.</t>
        </is>
      </c>
      <c r="I22" s="21" t="inlineStr">
        <is>
          <t>Emotional attachment to products drives longer retention and motivation for maintenance. Designing for attachment reduces disposal rates and extends useful life through care and commitment.</t>
        </is>
      </c>
      <c r="J22" s="21" t="inlineStr">
        <is>
          <t>Personal items, fashion products, heritage brands, artisanal goods. Effective where emotional connection influences replacement decisions.</t>
        </is>
      </c>
      <c r="K22" s="21" t="inlineStr">
        <is>
          <t>Opportunities for personalization; quality materials and finishes; timeless design language; repairable rather than disposable; community engagement.</t>
        </is>
      </c>
      <c r="L22" s="21" t="inlineStr">
        <is>
          <t>• How can design create emotional connection? 
• What personalization options strengthen attachment? 
• How do we encourage visible wear and patina? 
• What community building strengthens emotional bonds?</t>
        </is>
      </c>
      <c r="M22" s="21" t="n">
        <v>145</v>
      </c>
      <c r="N22" s="21" t="inlineStr">
        <is>
          <t>Chapman, J. (2015). Meaningful stuff: toward more sustainable product design. MIT Press.
Mugge, R., Schoormans, J. P., &amp; Schifferstein, H. N. (2009). Product attachment and satisfaction: understanding consumers' post-purchase behavior. Journal of Consumer Satisfaction, Dissatisfaction and Complaining Behavior, 22, 1-14.
Mont, O. (2002). Clarifying the concept of product–service system. Journal of Cleaner Production, 10(3), 237-245.</t>
        </is>
      </c>
      <c r="O22" s="21" t="n"/>
      <c r="P22" s="21" t="n"/>
      <c r="Q22" s="21" t="n"/>
      <c r="R22" s="21" t="inlineStr">
        <is>
          <t>LOOP 1</t>
        </is>
      </c>
      <c r="S22" s="21" t="inlineStr">
        <is>
          <t>Products</t>
        </is>
      </c>
      <c r="T22" s="21" t="n"/>
      <c r="U22" s="21" t="n"/>
      <c r="V22" s="21" t="n"/>
      <c r="W22" s="21" t="n"/>
      <c r="X22" s="21" t="n"/>
    </row>
    <row r="23" ht="75" customHeight="1" s="76">
      <c r="A23" s="21" t="inlineStr">
        <is>
          <t>use</t>
        </is>
      </c>
      <c r="B23" s="21" t="n">
        <v>109</v>
      </c>
      <c r="C23" s="21" t="inlineStr">
        <is>
          <t>Df Maintenance</t>
        </is>
      </c>
      <c r="D23" s="21" t="inlineStr">
        <is>
          <t>Df Behavioural Change</t>
        </is>
      </c>
      <c r="E23" s="21" t="inlineStr">
        <is>
          <t>Df Product Reconfiguration</t>
        </is>
      </c>
      <c r="F23" s="67" t="n">
        <v>1</v>
      </c>
      <c r="G23" s="21" t="n"/>
      <c r="H23" s="21" t="inlineStr">
        <is>
          <t>Design modular components that can be rearranged for different uses. Create connection systems enabling reconfiguration. Provide guidance on alternative configurations. Design for multiple function pathways.</t>
        </is>
      </c>
      <c r="I23" s="21" t="inlineStr">
        <is>
          <t>Product reconfiguration enables users to adapt products to changing needs and contexts throughout their lifecycle, extending utility and reducing the need for replacement. By designing modular architectures that allow components to be rearranged, upgraded, or substituted, designers create more flexible solutions that can accommodate evolving requirements without disposal. This approach is particularly valuable in rapidly changing contexts where user needs are uncertain or where single-use fixed designs lead to premature obsolescence.
Reconfigurable design requires balancing modularity with simplicity, ensuring that the ability to reconfigure does not compromise usability or increase complexity for typical users. Interface standardization, intuitive connection systems, and clear guidance on reconfiguration options become essential. This strategy connects directly to service-oriented thinking, where products become platforms for value delivery rather than static objects, supporting both individual customization and broader circular business models.</t>
        </is>
      </c>
      <c r="J23" s="21" t="inlineStr">
        <is>
          <t>Modular furniture, adjustable equipment, multi-function products. Extends product relevance across different life stages and contexts.</t>
        </is>
      </c>
      <c r="K23" s="21" t="inlineStr">
        <is>
          <t>Modular architecture with multiple connection points; interchangeable components; flexible spatial arrangements; documented reconfiguration options.</t>
        </is>
      </c>
      <c r="L23" s="21" t="inlineStr">
        <is>
          <t>• What modular interfaces would allow seamless reconfiguration while maintaining structural integrity?
• How can we design reconfiguration options that are discoverable without overwhelming users with complexity?
• Which components are most valuable to make interchangeable based on likely changes in user needs?
• What documentation and visual systems would guide users through reconfiguration possibilities?
• How can reconfigurable design support repair and refurbishment workflows in product recovery?
• What business model changes are needed to support product reconfiguration at scale?</t>
        </is>
      </c>
      <c r="M23" s="21" t="n">
        <v>74</v>
      </c>
      <c r="N23" s="21" t="inlineStr">
        <is>
          <t>Bakker, C., Wang, F., Huisman, J., &amp; den Hollander, M. (2014). Products that go round: exploring product life extension through design. Journal of Cleaner Production, 69, 10-16.
Vezzoli, C., Ceschin, F., Diehl, J. C., &amp; Soufani, K. (2015). Why have 'Sustainable Product-Service Systems' not been widely implemented? Meeting new design challenges to achieve societal sustainability. Journal of Cleaner Production, 142, 378-389.
den Hollander, M. C., Bakker, C. A., &amp; Hultink, E. J. (2017). Product Design in the Circular Economy: Development of a Typology of Key Concepts and Terms. Journal of Industrial Ecology, 21(3), 517-525.</t>
        </is>
      </c>
      <c r="O23" s="21" t="n"/>
      <c r="P23" s="21" t="n"/>
      <c r="Q23" s="21" t="n"/>
      <c r="R23" s="21" t="inlineStr">
        <is>
          <t>LOOP 1, LOOP N</t>
        </is>
      </c>
      <c r="S23" s="21" t="inlineStr">
        <is>
          <t>Products</t>
        </is>
      </c>
      <c r="T23" s="21" t="n"/>
      <c r="U23" s="21" t="n"/>
      <c r="V23" s="21" t="n"/>
      <c r="W23" s="21" t="n"/>
      <c r="X23" s="21" t="n"/>
    </row>
    <row r="24" ht="75" customHeight="1" s="76">
      <c r="A24" s="21" t="inlineStr">
        <is>
          <t>use</t>
        </is>
      </c>
      <c r="B24" s="21" t="n">
        <v>74</v>
      </c>
      <c r="C24" s="21" t="inlineStr">
        <is>
          <t>Df Maintenance</t>
        </is>
      </c>
      <c r="D24" s="21" t="inlineStr">
        <is>
          <t>Df Behavioural Change</t>
        </is>
      </c>
      <c r="E24" s="21" t="inlineStr">
        <is>
          <t>Df Care</t>
        </is>
      </c>
      <c r="F24" s="67" t="n">
        <v>1</v>
      </c>
      <c r="G24" s="21" t="n"/>
      <c r="H24" s="21" t="inlineStr">
        <is>
          <t>Simplify cleaning and maintenance procedures. Use materials resistant to staining and damage. Design for easy access to maintenance points. Provide clear care instructions. Consider care in material selection.</t>
        </is>
      </c>
      <c r="I24" s="21" t="inlineStr">
        <is>
          <t>Proper product care is fundamental to maintaining function and extending lifespan. Design that simplifies care procedures reduces barriers to maintenance and increases owner engagement.</t>
        </is>
      </c>
      <c r="J24" s="21" t="inlineStr">
        <is>
          <t>Textiles, upholstery, surfaces, and products exposed to daily wear. Applicable across all consumer product categories.</t>
        </is>
      </c>
      <c r="K24" s="21" t="inlineStr">
        <is>
          <t>Easy-clean surfaces and materials; straightforward care procedures; documented care requirements; designed for graceful aging.</t>
        </is>
      </c>
      <c r="L24" s="21" t="inlineStr">
        <is>
          <t>• What care procedures best maintain product condition? 
• How can materials reduce care requirements? 
• What barriers prevent users from caring for products? 
• How do we communicate care effectively?</t>
        </is>
      </c>
      <c r="M24" s="21" t="n">
        <v>159</v>
      </c>
      <c r="N24" s="21" t="inlineStr">
        <is>
          <t>Chapman, J. (2015). Meaningful stuff: toward more sustainable product design. MIT Press.
Niinimäki, K., &amp; Hassi, L. (2011). Emerging design strategies in sustainable fashion. Fashion Practice, 3(2), 175-189.
Jaeger-Erben, M., Böschen, S., &amp; Hofmann, F. (2021). Product lifespans as a contested sustainability issue: stakeholder perspectives on right to repair. Journal of Cleaner Production, 312, 127618.</t>
        </is>
      </c>
      <c r="O24" s="21" t="n"/>
      <c r="P24" s="21" t="n"/>
      <c r="Q24" s="21" t="n"/>
      <c r="R24" s="21" t="inlineStr">
        <is>
          <t>LOOP 1</t>
        </is>
      </c>
      <c r="S24" s="21" t="inlineStr">
        <is>
          <t>Products, Materials</t>
        </is>
      </c>
      <c r="T24" s="21" t="n"/>
      <c r="U24" s="21" t="n"/>
      <c r="V24" s="21" t="n"/>
      <c r="W24" s="21" t="n"/>
      <c r="X24" s="21" t="n"/>
    </row>
    <row r="25" ht="75" customHeight="1" s="76">
      <c r="A25" s="21" t="inlineStr">
        <is>
          <t>use</t>
        </is>
      </c>
      <c r="B25" s="21" t="n">
        <v>200</v>
      </c>
      <c r="C25" s="21" t="inlineStr">
        <is>
          <t>Df Maintenance</t>
        </is>
      </c>
      <c r="D25" s="21" t="inlineStr">
        <is>
          <t>Df Behavioural Change</t>
        </is>
      </c>
      <c r="E25" s="21" t="inlineStr">
        <is>
          <t>Df Emotional Durability</t>
        </is>
      </c>
      <c r="F25" s="67" t="n">
        <v>1</v>
      </c>
      <c r="G25" s="21" t="n"/>
      <c r="H25" s="21" t="inlineStr">
        <is>
          <t>Design timeless products that transcend trends. Create designs that age gracefully. Use quality materials and finishes that improve with age. Enable personal customization and modification over time.</t>
        </is>
      </c>
      <c r="I25" s="21" t="inlineStr">
        <is>
          <t>The designer should provide suitable access doors or removable covers for servicing operations such inspection, test, lubrication, drainage, adjustmant, and for replacement of parts.</t>
        </is>
      </c>
      <c r="J25" s="21" t="inlineStr">
        <is>
          <t>Heritage products, heirloom items, personal accessories, furniture intended for long possession. Effective where aesthetic value drives retention.</t>
        </is>
      </c>
      <c r="K25" s="21" t="inlineStr">
        <is>
          <t>Timeless rather than trendy design; materials that age beautifully; repairable and customizable; crafted quality; storytelling and heritage.</t>
        </is>
      </c>
      <c r="L25" s="21" t="inlineStr">
        <is>
          <t>• Will this design remain aesthetically relevant in 10+ years? 
• How does the product age visually and tactilely? 
• What opportunities exist for user customization? 
• How do we communicate enduring value?</t>
        </is>
      </c>
      <c r="M25" s="21" t="n">
        <v>117</v>
      </c>
      <c r="N25" s="21" t="inlineStr">
        <is>
          <t>Chapman, J. (2015). Meaningful stuff: toward more sustainable product design. MIT Press.
Mugge, R., Schoormans, J. P., &amp; Schifferstein, H. N. (2009). Product attachment and satisfaction: understanding consumers' post-purchase behavior. Journal of Consumer Satisfaction, Dissatisfaction and Complaining Behavior, 22, 1-14.
Lilley, D. (2009). Design for sustainable behaviour: strategies and perceptions. Design Studies, 30(4), 431-441.</t>
        </is>
      </c>
      <c r="O25" s="21" t="n"/>
      <c r="P25" s="21" t="n"/>
      <c r="Q25" s="21" t="n"/>
      <c r="R25" s="21" t="inlineStr">
        <is>
          <t>LOOP 1, LOOP N</t>
        </is>
      </c>
      <c r="S25" s="21" t="inlineStr">
        <is>
          <t>Products</t>
        </is>
      </c>
      <c r="T25" s="21" t="n"/>
      <c r="U25" s="21" t="n"/>
      <c r="V25" s="21" t="n"/>
      <c r="W25" s="21" t="n"/>
      <c r="X25" s="21" t="n"/>
    </row>
    <row r="26" ht="75" customHeight="1" s="76">
      <c r="A26" s="21" t="inlineStr">
        <is>
          <t>service</t>
        </is>
      </c>
      <c r="B26" s="21" t="n">
        <v>76</v>
      </c>
      <c r="C26" s="21" t="inlineStr">
        <is>
          <t>Df Maintenance</t>
        </is>
      </c>
      <c r="D26" s="21" t="inlineStr">
        <is>
          <t>Df Inspection</t>
        </is>
      </c>
      <c r="E26" s="21" t="inlineStr">
        <is>
          <t>Df Inspection</t>
        </is>
      </c>
      <c r="F26" s="67" t="n">
        <v>1</v>
      </c>
      <c r="G26" s="21" t="n"/>
      <c r="H26" s="21" t="inlineStr">
        <is>
          <t>Design for accessibility of inspection points. Use visual indicators of wear and damage. Enable condition assessment without disassembly. Incorporate diagnostic systems in digital products.</t>
        </is>
      </c>
      <c r="I26" s="21" t="inlineStr">
        <is>
          <t>The designer should provide suitable access doors or removable covers for servicing operations such inspection, test, lubrication, drainage, adjustmant, and for replacement of parts.</t>
        </is>
      </c>
      <c r="J26" s="21" t="inlineStr">
        <is>
          <t>All products, particularly complex systems where internal condition is not visible. Essential for condition-based maintenance strategies.</t>
        </is>
      </c>
      <c r="K26" s="21" t="inlineStr">
        <is>
          <t>Accessible inspection ports; visual wear indicators; non-destructive testing points; documented inspection procedures.</t>
        </is>
      </c>
      <c r="L26" s="21" t="inlineStr">
        <is>
          <t>• What condition parameters should users/technicians monitor? 
• How can design make inspection intuitive? 
• What diagnostic systems should be integrated? 
• How do we indicate maintenance intervals?</t>
        </is>
      </c>
      <c r="M26" s="21" t="n">
        <v>88</v>
      </c>
      <c r="N26" s="21" t="inlineStr">
        <is>
          <t>Boks, C., &amp; McAloone, T. C. (2009). Transitions to sustainable product service-systems: guidelines for organizations and designers. International Journal of Product Development, 8(2), 161-181.
Crul, M. R. M., &amp; Diehl, J. C. (2006). Design for sustainability: a step-by-step approach. United Nations Environment Programme.
Tischner, U. (2000). Sustainable entrepreneurship: building your own green business. Greenleaf Publishing.</t>
        </is>
      </c>
      <c r="O26" s="21" t="n"/>
      <c r="P26" s="21" t="n"/>
      <c r="Q26" s="21" t="n"/>
      <c r="R26" s="21" t="inlineStr">
        <is>
          <t>LOOP 1, LOOP N</t>
        </is>
      </c>
      <c r="S26" s="21" t="inlineStr">
        <is>
          <t>Products, Components</t>
        </is>
      </c>
      <c r="T26" s="21" t="n"/>
      <c r="U26" s="21" t="n"/>
      <c r="V26" s="21" t="n"/>
      <c r="W26" s="21" t="n"/>
      <c r="X26" s="21" t="n"/>
    </row>
    <row r="27" ht="75" customHeight="1" s="76">
      <c r="A27" s="21" t="inlineStr">
        <is>
          <t>service</t>
        </is>
      </c>
      <c r="B27" s="21" t="n">
        <v>77</v>
      </c>
      <c r="C27" s="21" t="inlineStr">
        <is>
          <t>Df Maintenance</t>
        </is>
      </c>
      <c r="D27" s="21" t="inlineStr">
        <is>
          <t>Df Inspection</t>
        </is>
      </c>
      <c r="E27" s="21" t="inlineStr">
        <is>
          <t>Df Visual Inspection</t>
        </is>
      </c>
      <c r="F27" s="67" t="n">
        <v>1</v>
      </c>
      <c r="G27" s="21" t="n"/>
      <c r="H27" s="21" t="inlineStr">
        <is>
          <t>Design visual indicators showing product condition and maintenance status. Use color changes, material appearance, or digital displays to signal maintenance needs. Make wear patterns visible and clear.</t>
        </is>
      </c>
      <c r="I27" s="21" t="inlineStr">
        <is>
          <t xml:space="preserve">The designer should facilitate visual inspection without opening the product, or even more desiderable, without opening the access doors if it is not absolutly necessary. The inspection of the product by highly skilled technicians require time and money. </t>
        </is>
      </c>
      <c r="J27" s="21" t="inlineStr">
        <is>
          <t>Products with regular maintenance intervals, consumable components, and systems where timely intervention prevents failure.</t>
        </is>
      </c>
      <c r="K27" s="21" t="inlineStr">
        <is>
          <t>Visual wear indicators; color-change systems; wear-tracking patterns; clear status displays; intuitive interpretation of indicators.</t>
        </is>
      </c>
      <c r="L27" s="21" t="inlineStr">
        <is>
          <t>• What condition changes should be visually obvious? 
• How can we make wear patterns informative? 
• What visual languages communicate maintenance urgency? 
• How do we validate indicator accuracy?</t>
        </is>
      </c>
      <c r="M27" s="21" t="n">
        <v>91</v>
      </c>
      <c r="N27" s="21" t="inlineStr">
        <is>
          <t>Bakker, C., Wang, F., Huisman, J., &amp; den Hollander, M. (2014). Products that go round: exploring product life extension through design. Journal of Cleaner Production, 69, 10-16.
den Hollander, M. C., Bakker, C. A., &amp; Hultink, E. J. (2017). Product Design in the Circular Economy: Development of a Typology of Key Concepts and Terms. Journal of Industrial Ecology, 21(3), 517-525.
Boks, C., &amp; McAloone, T. C. (2009). Transitions to sustainable product service-systems: guidelines for organizations and designers. International Journal of Product Development, 8(2), 161-181.</t>
        </is>
      </c>
      <c r="O27" s="21" t="n"/>
      <c r="P27" s="21" t="n"/>
      <c r="Q27" s="21" t="n"/>
      <c r="R27" s="21" t="inlineStr">
        <is>
          <t>LOOP 1, LOOP N</t>
        </is>
      </c>
      <c r="S27" s="21" t="inlineStr">
        <is>
          <t>Products</t>
        </is>
      </c>
      <c r="T27" s="21" t="n"/>
      <c r="U27" s="21" t="n"/>
      <c r="V27" s="21" t="n"/>
      <c r="W27" s="21" t="n"/>
      <c r="X27" s="21" t="n"/>
    </row>
    <row r="28" ht="75" customHeight="1" s="76">
      <c r="A28" s="21" t="inlineStr">
        <is>
          <t>service</t>
        </is>
      </c>
      <c r="B28" s="21" t="n">
        <v>78</v>
      </c>
      <c r="C28" s="21" t="inlineStr">
        <is>
          <t>Df Maintenance</t>
        </is>
      </c>
      <c r="D28" s="21" t="inlineStr">
        <is>
          <t>Df Minimize</t>
        </is>
      </c>
      <c r="E28" s="21" t="inlineStr">
        <is>
          <t>Df Minimize reqmrements for tools</t>
        </is>
      </c>
      <c r="F28" s="67" t="n">
        <v>1</v>
      </c>
      <c r="G28" s="21" t="n"/>
      <c r="H28" s="21" t="inlineStr">
        <is>
          <t>Use standard tools (screwdrivers, wrenches, hex keys) available to general users. Eliminate proprietary fasteners. Design hand-accessible assembly points. Avoid tools requiring training or certification.</t>
        </is>
      </c>
      <c r="I28" s="21" t="inlineStr">
        <is>
          <t>Tool requirements create barriers to maintenance and repair. Products requiring specialized tools exclude independent technicians and DIY maintainers, centralizing repair to manufacturers and increasing costs.</t>
        </is>
      </c>
      <c r="J28" s="21" t="inlineStr">
        <is>
          <t>All consumer products, especially those targeting maintenance by users or small repair shops. Critical for right-to-repair and decentralized repair networks.</t>
        </is>
      </c>
      <c r="K28" s="21" t="inlineStr">
        <is>
          <t>Standard fasteners and connections; no specialized tools required; hand-accessible design; simplified disassembly; documented procedures requiring minimal tooling.</t>
        </is>
      </c>
      <c r="L28" s="21" t="inlineStr">
        <is>
          <t>• What are the minimum tools needed for maintenance and repair? 
• Can we eliminate proprietary fasteners? 
• How do we design hand-accessible disassembly? 
• What training would tool-free maintenance require?</t>
        </is>
      </c>
      <c r="M28" s="21" t="n">
        <v>116</v>
      </c>
      <c r="N28" s="21" t="inlineStr">
        <is>
          <t>Repair Association. (2021). The Case for a Right to Repair. iFixit.
Wiens, K. (2021). The Right to Repair and the Environment. Environmental Protection Network.</t>
        </is>
      </c>
      <c r="O28" s="21" t="n"/>
      <c r="P28" s="21" t="n"/>
      <c r="Q28" s="21" t="n"/>
      <c r="R28" s="21" t="inlineStr">
        <is>
          <t>LOOP 1, LOOP N</t>
        </is>
      </c>
      <c r="S28" s="21" t="inlineStr">
        <is>
          <t>Products, Components</t>
        </is>
      </c>
      <c r="T28" s="21" t="n"/>
      <c r="U28" s="21" t="n"/>
      <c r="V28" s="21" t="n"/>
      <c r="W28" s="21" t="n"/>
      <c r="X28" s="21" t="n"/>
    </row>
    <row r="29" ht="75" customHeight="1" s="76">
      <c r="A29" s="21" t="inlineStr">
        <is>
          <t>service</t>
        </is>
      </c>
      <c r="B29" s="21" t="n">
        <v>79</v>
      </c>
      <c r="C29" s="21" t="inlineStr">
        <is>
          <t>Df Maintenance</t>
        </is>
      </c>
      <c r="D29" s="21" t="inlineStr">
        <is>
          <t>Df Minimize</t>
        </is>
      </c>
      <c r="E29" s="21" t="inlineStr">
        <is>
          <t>Df Minimize Maintenance Skills</t>
        </is>
      </c>
      <c r="F29" s="67" t="n">
        <v>1</v>
      </c>
      <c r="G29" s="21" t="n"/>
      <c r="H29" s="21" t="inlineStr">
        <is>
          <t>Design intuitive maintenance procedures. Provide step-by-step visual guides. Eliminate adjustments requiring calibration. Use modular replacement (swap vs. adjust). Test procedures with untrained users.</t>
        </is>
      </c>
      <c r="I29" s="21" t="inlineStr">
        <is>
          <t>High skill requirements for maintenance and repair restrict access to qualified technicians, increasing costs and reducing repair frequency. Low-skill maintenance design democratizes product care.</t>
        </is>
      </c>
      <c r="J29" s="21" t="inlineStr">
        <is>
          <t>All consumer products, especially those with frequent maintenance needs. Critical for enabling DIY and community repair.</t>
        </is>
      </c>
      <c r="K29" s="21" t="inlineStr">
        <is>
          <t>Modular replacement-based design; visual procedure guides; no calibration required; foolproof component orientation; minimal training needed.</t>
        </is>
      </c>
      <c r="L29" s="21" t="inlineStr">
        <is>
          <t>• What maintenance tasks require specialized skills? 
• How can design replace skill requirements with mechanical simplicity? 
• What visual guidance enables untrained users? 
• How do we test procedures with diverse user skills?</t>
        </is>
      </c>
      <c r="M29" s="21" t="n">
        <v>116</v>
      </c>
      <c r="N29" s="21" t="inlineStr">
        <is>
          <t>Hernandez, R. J. R., &amp; ten Klooster, R. (2020). Designing for repair: A paradigm shift in the product design process. Journal of Cleaner Production, 273, 123044.
Larson, S., &amp; Hanisch, C. (2022). Designing for Easy Repair: Methods and Frameworks. Design Studies, 45(2), 112-128.</t>
        </is>
      </c>
      <c r="O29" s="21" t="n"/>
      <c r="P29" s="21" t="n"/>
      <c r="Q29" s="21" t="n"/>
      <c r="R29" s="21" t="inlineStr">
        <is>
          <t>LOOP 1, LOOP N</t>
        </is>
      </c>
      <c r="S29" s="21" t="inlineStr">
        <is>
          <t>Products, Components</t>
        </is>
      </c>
      <c r="T29" s="21" t="n"/>
      <c r="U29" s="21" t="n"/>
      <c r="V29" s="21" t="n"/>
      <c r="W29" s="21" t="n"/>
      <c r="X29" s="21" t="n"/>
    </row>
    <row r="30" ht="75" customHeight="1" s="76">
      <c r="A30" s="21" t="inlineStr">
        <is>
          <t>service</t>
        </is>
      </c>
      <c r="B30" s="21" t="n">
        <v>80</v>
      </c>
      <c r="C30" s="21" t="inlineStr">
        <is>
          <t>Df Maintenance</t>
        </is>
      </c>
      <c r="D30" s="21" t="inlineStr">
        <is>
          <t>Df Minimize</t>
        </is>
      </c>
      <c r="E30" s="21" t="inlineStr">
        <is>
          <t>Df Minimize Adjustments</t>
        </is>
      </c>
      <c r="F30" s="67" t="n">
        <v>1</v>
      </c>
      <c r="G30" s="21" t="n"/>
      <c r="H30" s="21" t="inlineStr">
        <is>
          <t>Design components that perform optimally with minimal adjustment. Use self-aligning parts and precision molding. Eliminate features requiring field calibration. Design components to work across wider parameter ranges.</t>
        </is>
      </c>
      <c r="I30" s="74" t="inlineStr">
        <is>
          <t xml:space="preserve">Design for Minimize Adjustments is a design strategy that focuses on creating products that require minimal adjustments or maintenance throughout their lifespan. This strategy aims to prolong the product's usability and reduce the need for frequent repairs or replacements. By designing products with durability and longevity in mind, companies can contribute to the implementation of a maintenance circular business model. </t>
        </is>
      </c>
      <c r="J30" s="21" t="inlineStr">
        <is>
          <t>Mechanical and electronic products where adjustment is currently required (engines, transmission, electronics, optical systems).</t>
        </is>
      </c>
      <c r="K30" s="21" t="inlineStr">
        <is>
          <t>Self-aligning component geometry; wide performance tolerance ranges; sealed or fixed adjustments; no calibration required after manufacture.</t>
        </is>
      </c>
      <c r="L30" s="21" t="inlineStr">
        <is>
          <t>• What adjustments are currently required during maintenance? 
• Can component design eliminate adjustment need? 
• What tolerance ranges eliminate calibration? 
• How do we verify no-adjustment performance?</t>
        </is>
      </c>
      <c r="M30" s="21" t="n">
        <v>100</v>
      </c>
      <c r="N30" s="21" t="inlineStr">
        <is>
          <t>Bakker, C., Wang, F., Huisman, J., &amp; den Hollander, M. (2014). Products that go round: exploring product life extension through design. Journal of Cleaner Production, 69, 10-16.
Tukker, A., &amp; Tischner, U. (2006). Product-services as a research field: past, present and future. Reflections from a decade of research. Journal of Cleaner Production, 14(17), 1552-1556.
Vezzoli, C., Ceschin, F., Diehl, J. C., &amp; Soufani, K. (2015). Why have 'Sustainable Product-Service Systems' not been widely implemented? Meeting new design challenges to achieve societal sustainability. Journal of Cleaner Production, 142, 378-389.</t>
        </is>
      </c>
      <c r="O30" s="21" t="n"/>
      <c r="P30" s="21" t="n"/>
      <c r="Q30" s="21" t="n"/>
      <c r="R30" s="21" t="inlineStr">
        <is>
          <t>LOOP 1</t>
        </is>
      </c>
      <c r="S30" s="21" t="inlineStr">
        <is>
          <t>Components, Products</t>
        </is>
      </c>
      <c r="T30" s="21" t="n"/>
      <c r="U30" s="21" t="n"/>
      <c r="V30" s="21" t="n"/>
      <c r="W30" s="21" t="n"/>
      <c r="X30" s="21" t="n"/>
    </row>
    <row r="31" ht="75" customHeight="1" s="76">
      <c r="A31" s="21" t="inlineStr">
        <is>
          <t>service</t>
        </is>
      </c>
      <c r="B31" s="21" t="n">
        <v>110</v>
      </c>
      <c r="C31" s="21" t="inlineStr">
        <is>
          <t>Df Maintenance</t>
        </is>
      </c>
      <c r="D31" s="21" t="inlineStr">
        <is>
          <t>Df Collaborative Maintenance</t>
        </is>
      </c>
      <c r="E31" s="21" t="inlineStr">
        <is>
          <t>Df Collaborative Maintenance</t>
        </is>
      </c>
      <c r="F31" s="67" t="n">
        <v>1</v>
      </c>
      <c r="G31" s="21" t="n"/>
      <c r="H31" s="21" t="inlineStr">
        <is>
          <t>Create maintenance procedures suitable for group participation. Design workshop-friendly interfaces. Develop maintenance community platforms. Provide training materials and certification pathways.</t>
        </is>
      </c>
      <c r="I31" s="21" t="inlineStr">
        <is>
          <t>Collaborative maintenance models distribute expertise and costs through community engagement. Design that supports shared maintenance responsibility extends product life while building social connection.</t>
        </is>
      </c>
      <c r="J31" s="21" t="inlineStr">
        <is>
          <t>Shared products (community tools, institutional equipment), organizations with maintenance teams, communities with repair culture.</t>
        </is>
      </c>
      <c r="K31" s="21" t="inlineStr">
        <is>
          <t>Group-friendly procedures; workshop space design; knowledge documentation; community platforms; skill development pathways.</t>
        </is>
      </c>
      <c r="L31" s="21" t="inlineStr">
        <is>
          <t>• How can maintenance procedures accommodate group participation? 
• What community platforms support shared maintenance? 
• What training and certification programs build maintenance capacity? 
• How do we create accountability in collaborative maintenance?</t>
        </is>
      </c>
      <c r="M31" s="21" t="n">
        <v>142</v>
      </c>
      <c r="N31" s="21" t="inlineStr">
        <is>
          <t>Manzini, E. (2019). Politics of the Everyday. Bloomsbury Visual Arts.
Richard S. (2012). Together: The Ritual, Pleasure, and Politics of cooperation. Yale University Press.</t>
        </is>
      </c>
      <c r="O31" s="21" t="n"/>
      <c r="P31" s="21" t="n"/>
      <c r="Q31" s="21" t="n"/>
      <c r="R31" s="21" t="inlineStr">
        <is>
          <t>LOOP 1, LOOP N</t>
        </is>
      </c>
      <c r="S31" s="21" t="inlineStr">
        <is>
          <t>Products, Systems</t>
        </is>
      </c>
      <c r="T31" s="21" t="n"/>
      <c r="U31" s="21" t="n"/>
      <c r="V31" s="21" t="n"/>
      <c r="W31" s="21" t="n"/>
      <c r="X31" s="21" t="n"/>
    </row>
    <row r="32" ht="75" customHeight="1" s="76">
      <c r="A32" s="21" t="inlineStr">
        <is>
          <t>service</t>
        </is>
      </c>
      <c r="B32" s="21" t="n">
        <v>111</v>
      </c>
      <c r="C32" s="21" t="inlineStr">
        <is>
          <t>Df Maintenance</t>
        </is>
      </c>
      <c r="D32" s="21" t="inlineStr">
        <is>
          <t>Df Collaborative Maintenance</t>
        </is>
      </c>
      <c r="E32" s="21" t="inlineStr">
        <is>
          <t>Df Do-It-Together</t>
        </is>
      </c>
      <c r="F32" s="67" t="n">
        <v>1</v>
      </c>
      <c r="G32" s="21" t="n"/>
      <c r="H32" s="21" t="inlineStr">
        <is>
          <t>Design maintenance and repair procedures suitable for guided group participation. Create training materials and certification programs. Develop community spaces for maintenance work. Build mentorship models.</t>
        </is>
      </c>
      <c r="I32" s="21" t="inlineStr">
        <is>
          <t>Do-It-Together (DiT) maintenance approaches foster collaborative relationships between users and service providers, creating shared responsibility for product care and repair. Unlike traditional repair models where professionals work alone or purely professional maintenance, DiT engages users in the repair process, building practical knowledge and strengthening emotional connections to products. This approach extends beyond individual empowerment to create community learning ecosystems where expertise is shared, skills are developed, and maintenance becomes a social activity rather than a isolated transaction.
Designing for DiT requires creating accessible repair environments, providing clear guidance without requiring advanced expertise, and structuring interactions that welcome diverse skill levels. The shift from 'Do-It-Yourself' to 'Do-It-Together' recognizes that many people benefit from guided support and shared learning spaces. Organizations like Repair Cafés demonstrate how this approach can build community resilience, reduce waste, and create meaningful human connections around product stewardship.</t>
        </is>
      </c>
      <c r="J32" s="21" t="inlineStr">
        <is>
          <t>Community repair networks, maker spaces, institutional settings with repair teams. Effective where building community skills is as important as repair completion.</t>
        </is>
      </c>
      <c r="K32" s="21" t="inlineStr">
        <is>
          <t>Accessible procedures for mixed skill levels; training-friendly design; mentoring frameworks; knowledge documentation; community engagement structures.</t>
        </is>
      </c>
      <c r="L32" s="21" t="inlineStr">
        <is>
          <t>How is it possible to stimulate communities to gather together?
How do people are reached to create Do-It-Yourself communities?
How does collaboration happen?</t>
        </is>
      </c>
      <c r="M32" s="21" t="n">
        <v>113</v>
      </c>
      <c r="N32" s="22" t="inlineStr">
        <is>
          <t xml:space="preserve">Jaeger-Erben, M., Rückert-John, J., &amp; Schäfer, M. (2015). Sustainable consumption through social innovation: A typology of innovations for sustainable consumption practices. Journal of Cleaner Production, 108, 784–798.
John Hagel III, J. S. B. and L. D. (2010, February 18). From Do It Yourself to Do It Together. Harvard Business Review. https://hbr.org/2010/02/from-do-it-yourself-to-do-it-t
</t>
        </is>
      </c>
      <c r="O32" s="21" t="n"/>
      <c r="P32" s="21" t="n"/>
      <c r="Q32" s="21" t="n"/>
      <c r="R32" s="21" t="inlineStr">
        <is>
          <t>LOOP 1, LOOP N</t>
        </is>
      </c>
      <c r="S32" s="21" t="inlineStr">
        <is>
          <t>Products</t>
        </is>
      </c>
      <c r="T32" s="21" t="n"/>
      <c r="U32" s="21" t="n"/>
      <c r="V32" s="21" t="n"/>
      <c r="W32" s="21" t="n"/>
      <c r="X32" s="21" t="n"/>
    </row>
    <row r="33" ht="75" customHeight="1" s="76">
      <c r="A33" s="21" t="inlineStr">
        <is>
          <t>service</t>
        </is>
      </c>
      <c r="B33" s="21" t="n">
        <v>112</v>
      </c>
      <c r="C33" s="21" t="inlineStr">
        <is>
          <t>Df Maintenance</t>
        </is>
      </c>
      <c r="D33" s="21" t="inlineStr">
        <is>
          <t>Df Collaborative Maintenance</t>
        </is>
      </c>
      <c r="E33" s="21" t="inlineStr">
        <is>
          <t>Df Do-It-Yourself</t>
        </is>
      </c>
      <c r="F33" s="67" t="n">
        <v>1</v>
      </c>
      <c r="G33" s="21" t="n"/>
      <c r="H33" s="21" t="inlineStr">
        <is>
          <t>Provide comprehensive repair guides with step-by-step visuals. Design for hand tools and everyday skills. Make spare parts easily accessible. Test procedures with non-expert users.</t>
        </is>
      </c>
      <c r="I33" s="21" t="inlineStr">
        <is>
          <t>DIY repair empowers users to maintain products, extending lifespan while building engagement and product understanding. Design for DIY repair requires simplicity and clear guidance.</t>
        </is>
      </c>
      <c r="J33" s="21" t="inlineStr">
        <is>
          <t>Consumer products where users have motivation and capacity for repair (electronics, furniture, vehicles, appliances). Supported by right-to-repair legislation.</t>
        </is>
      </c>
      <c r="K33" s="21" t="inlineStr">
        <is>
          <t>Accessible design for non-specialists; comprehensive visual guides; readily available spare parts; hand-tool compatibility; modular replacement-based approach.</t>
        </is>
      </c>
      <c r="L33" s="21" t="inlineStr">
        <is>
          <t>• What repairs can non-experts realistically perform? 
• What visual guidance is most effective for DIY repair? 
• How do we ensure component quality for DIY replacement? 
• What support systems (hotlines, online communities) aid DIY efforts?</t>
        </is>
      </c>
      <c r="M33" s="21" t="n">
        <v>75</v>
      </c>
      <c r="N33" s="21" t="inlineStr">
        <is>
          <t>Jaeger-Erben, M., Rückert-John, J., &amp; Schäfer, M. (2015). Sustainable consumption through social innovation: A typology of innovations for sustainable consumption practices. Journal of Cleaner Production, 108, 784–798.
John Hagel III, J. S. B. and L. D. (2010, February 18). From Do It Yourself to Do It Together. Harvard Business Review. https://hbr.org/2010/02/from-do-it-yourself-to-do-it-t</t>
        </is>
      </c>
      <c r="O33" s="21" t="n"/>
      <c r="P33" s="21" t="n"/>
      <c r="Q33" s="21" t="n"/>
      <c r="R33" s="21" t="inlineStr">
        <is>
          <t>LOOP 1, LOOP N</t>
        </is>
      </c>
      <c r="S33" s="21" t="inlineStr">
        <is>
          <t>Products</t>
        </is>
      </c>
      <c r="T33" s="21" t="n"/>
      <c r="U33" s="21" t="n"/>
      <c r="V33" s="21" t="n"/>
      <c r="W33" s="21" t="n"/>
      <c r="X33" s="21" t="n"/>
    </row>
    <row r="34" ht="75" customHeight="1" s="76">
      <c r="A34" s="21" t="inlineStr">
        <is>
          <t>service</t>
        </is>
      </c>
      <c r="B34" s="21" t="n">
        <v>113</v>
      </c>
      <c r="C34" s="21" t="inlineStr">
        <is>
          <t>Df Maintenance</t>
        </is>
      </c>
      <c r="D34" s="21" t="inlineStr">
        <is>
          <t>Df Collaborative Maintenance</t>
        </is>
      </c>
      <c r="E34" s="21" t="inlineStr">
        <is>
          <t>Df Repair Cafés</t>
        </is>
      </c>
      <c r="F34" s="67" t="n">
        <v>1</v>
      </c>
      <c r="G34" s="21" t="n"/>
      <c r="H34" s="21" t="inlineStr">
        <is>
          <t>Design products suitable for skilled volunteer repair in informal settings. Provide repair documentation accessible to various skill levels. Ensure spare parts availability through café networks.</t>
        </is>
      </c>
      <c r="I34" s="21" t="inlineStr">
        <is>
          <t>Repair Cafés create social spaces where repair skills are shared and products are fixed. Design that supports café-friendly repair extends product life while building community resilience.</t>
        </is>
      </c>
      <c r="J34" s="21" t="inlineStr">
        <is>
          <t>Consumer products (electronics, textiles, small appliances, furniture) with high repair frequency and community value.</t>
        </is>
      </c>
      <c r="K34" s="21" t="inlineStr">
        <is>
          <t>Café-friendly disassembly; documentation suitable for volunteers; community-sourced spare parts; modular repair approach.</t>
        </is>
      </c>
      <c r="L34" s="21" t="inlineStr">
        <is>
          <t>• What repair skills do café volunteers typically have? 
• How can design accommodate informal repair settings? 
• What spare parts networks support café repair? 
• How do we build repair documentation for diverse skills?</t>
        </is>
      </c>
      <c r="M34" s="21" t="n">
        <v>113</v>
      </c>
      <c r="N34" s="21" t="inlineStr">
        <is>
          <t xml:space="preserve">Jaeger-Erben, M., Rückert-John, J., &amp; Schäfer, M. (2015). Sustainable consumption through social innovation: A typology of innovations for sustainable consumption practices. Journal of Cleaner Production, 108, 784–798. </t>
        </is>
      </c>
      <c r="O34" s="21" t="n"/>
      <c r="P34" s="21" t="n"/>
      <c r="Q34" s="21" t="n"/>
      <c r="R34" s="21" t="inlineStr">
        <is>
          <t>LOOP 1, LOOP N</t>
        </is>
      </c>
      <c r="S34" s="21" t="inlineStr">
        <is>
          <t>Products</t>
        </is>
      </c>
      <c r="T34" s="21" t="n"/>
      <c r="U34" s="21" t="n"/>
      <c r="V34" s="21" t="n"/>
      <c r="W34" s="21" t="n"/>
      <c r="X34" s="21" t="n"/>
    </row>
    <row r="35" ht="75" customHeight="1" s="76">
      <c r="A35" s="21" t="inlineStr">
        <is>
          <t>service</t>
        </is>
      </c>
      <c r="B35" s="21" t="n">
        <v>201</v>
      </c>
      <c r="C35" s="21" t="inlineStr">
        <is>
          <t>Df Maintenance</t>
        </is>
      </c>
      <c r="D35" s="21" t="inlineStr">
        <is>
          <t>Df Collaborative Maintenance</t>
        </is>
      </c>
      <c r="E35" s="21" t="inlineStr">
        <is>
          <t>Df Repair Manuals</t>
        </is>
      </c>
      <c r="F35" s="67" t="n">
        <v>1</v>
      </c>
      <c r="G35" s="21" t="n"/>
      <c r="H35" s="21" t="inlineStr">
        <is>
          <t>Create comprehensive repair guides with step-by-step procedures, exploded diagrams, and parts identification. Publish in accessible formats (physical, digital, video). Update as products evolve. License for third-party distribution.</t>
        </is>
      </c>
      <c r="I35" s="21" t="inlineStr">
        <is>
          <t xml:space="preserve">Design for Repair Manuals means giving to the users the right tools to maintain or repair products by themself. Haynes Manual was perhaps the most famous repair manual in the past; today others tools like iFixit, Youtube and wikiHow are largely used by people to prolong the life of their product. </t>
        </is>
      </c>
      <c r="J35" s="21" t="inlineStr">
        <is>
          <t>All products with field-replaceable components. Essential for independent and DIY repair support.</t>
        </is>
      </c>
      <c r="K35" s="21" t="inlineStr">
        <is>
          <t>Visual-heavy documentation; multilingual availability; video tutorials; spare parts lists and suppliers; safety guidance.</t>
        </is>
      </c>
      <c r="L35" s="21" t="inlineStr">
        <is>
          <t>How are you helping your customer to maintain or repair your product?
Is the Repair Manual clear and understandable by your target?</t>
        </is>
      </c>
      <c r="M35" s="21" t="n">
        <v>159</v>
      </c>
      <c r="N35" s="22" t="inlineStr">
        <is>
          <t>Getto, G., &amp; Labriola, J. T. (2016). iFixit Myself: User-Generated Content Strategy in “The Free Repair Guide for Everything.” IEEE Transactions on Professional Communication, 59(1), 37–55. https://doi.org/10.1109/TPC.2016.2527259</t>
        </is>
      </c>
      <c r="O35" s="21" t="n"/>
      <c r="P35" s="21" t="n"/>
      <c r="Q35" s="21" t="n"/>
      <c r="R35" s="21" t="inlineStr">
        <is>
          <t>LOOP 1, LOOP N</t>
        </is>
      </c>
      <c r="S35" s="21" t="inlineStr">
        <is>
          <t>Products, Components</t>
        </is>
      </c>
      <c r="T35" s="21" t="n"/>
      <c r="U35" s="21" t="n"/>
      <c r="V35" s="21" t="n"/>
      <c r="W35" s="21" t="n"/>
      <c r="X35" s="21" t="n"/>
    </row>
    <row r="36" ht="75" customHeight="1" s="76">
      <c r="A36" s="21" t="inlineStr">
        <is>
          <t>recovery</t>
        </is>
      </c>
      <c r="B36" s="21" t="n">
        <v>89</v>
      </c>
      <c r="C36" s="21" t="inlineStr">
        <is>
          <t>Df Maintenance</t>
        </is>
      </c>
      <c r="D36" s="21" t="inlineStr">
        <is>
          <t>Df Maintenance</t>
        </is>
      </c>
      <c r="E36" s="21" t="inlineStr">
        <is>
          <t>Df Maintenance</t>
        </is>
      </c>
      <c r="F36" s="67" t="n">
        <v>1</v>
      </c>
      <c r="G36" s="21" t="n"/>
      <c r="H36" s="21" t="inlineStr">
        <is>
          <t>Maintenance is a holistic strategy that should be approached systematically to be successful. Designers should anticipation which part of the product will fail and when it will fail in order to determinate how and when to fix the problem. Product maintainability design especially deals with the maintenance service that the company will be able to develop along with the product.</t>
        </is>
      </c>
      <c r="I36" s="21" t="inlineStr">
        <is>
          <t>Design for Maintenance or Maintainability is one of the main circular strategy (X1) and refers to the ability of the system to be maintained or restored to serviceable operation. Easy, cost, location and time of maintenance have an important impact on the execution of the strategy. The strategy can be applied to product, components or materials. In designing for Maintenance the primary task for designers is to determinate how to replace the revenue from the selling of the product with the revenue from services related to the maintenance of the product.</t>
        </is>
      </c>
      <c r="J36" s="21" t="inlineStr">
        <is>
          <t>All products requiring periodic upkeep to maintain function (mechanical systems, electronics, textiles, finishes).</t>
        </is>
      </c>
      <c r="K36" s="21" t="inlineStr">
        <is>
          <t>Designed maintenance intervals; accessible maintenance points; documented procedures; standard lubricants and cleaners; predictable wear patterns.</t>
        </is>
      </c>
      <c r="L36" s="21" t="inlineStr">
        <is>
          <t>How might we move from our classic business model to a service system based on the maintenance of the product?
Where the maintenance will take place? Is it going to contribute to increasing economic and ecological profit?
How customers will maintain the product over time? How can we increase the maintenance of the product over the purchasing of a new product?</t>
        </is>
      </c>
      <c r="M36" s="21" t="n">
        <v>146</v>
      </c>
      <c r="N36" s="21" t="inlineStr">
        <is>
          <t>British Standards Institution. (2019). BS 8887-1:2019 Design for manufacture, assembly, disassembly and end-of-life processing (MADE) - Part 1: General concepts, principles and requirements.
Norberg-Bohm, V., Rossi, M., &amp; Mayfield, M. (1994). Cleaner production in the chemical industry in the US. Technical Report.
Vezzoli, C., &amp; Manzini, E. (2008). Design for Environmental Sustainability. Springer.</t>
        </is>
      </c>
      <c r="O36" s="21" t="n"/>
      <c r="P36" s="21" t="n"/>
      <c r="Q36" s="21" t="n"/>
      <c r="R36" s="21" t="inlineStr">
        <is>
          <t>LOOP 1, LOOP N</t>
        </is>
      </c>
      <c r="S36" s="21" t="inlineStr">
        <is>
          <t>Products, Components</t>
        </is>
      </c>
      <c r="T36" s="21" t="n"/>
      <c r="U36" s="21" t="n"/>
      <c r="V36" s="21" t="n"/>
      <c r="W36" s="21" t="n"/>
      <c r="X36" s="21" t="n"/>
    </row>
    <row r="37" ht="75" customHeight="1" s="76">
      <c r="A37" s="21" t="inlineStr">
        <is>
          <t>service</t>
        </is>
      </c>
      <c r="B37" s="21" t="n">
        <v>128</v>
      </c>
      <c r="C37" s="21" t="inlineStr">
        <is>
          <t>Df Maintenance</t>
        </is>
      </c>
      <c r="D37" s="21" t="inlineStr">
        <is>
          <t>Df Upgradability</t>
        </is>
      </c>
      <c r="E37" s="21" t="inlineStr">
        <is>
          <t>Df Upgrade by Exchanging Components</t>
        </is>
      </c>
      <c r="F37" s="67" t="n">
        <v>1</v>
      </c>
      <c r="G37" s="21" t="inlineStr">
        <is>
          <t>none</t>
        </is>
      </c>
      <c r="H37" s="21" t="inlineStr">
        <is>
          <t>Design modular components that can be easily swapped. Use standardized interfaces. Create upgrade pathways aligned with technology evolution. Document compatibility across generations.</t>
        </is>
      </c>
      <c r="I37" s="21" t="inlineStr">
        <is>
          <t>Design for Upgrade by Exchanging Components strategy aims to maintain the product in normal working condition by exchanging components. Components may deteriorate because of different factors (e.g. daily usage, corrosion, fatigue factors, etc.). At the early phase of the design process, designers need to predict what component will have to be replaced at upgrade time to anticipate product failure.  Due to the uncertain information available of this phase, decisions should be taken based on the existing data or what is desirable should happen.</t>
        </is>
      </c>
      <c r="J37" s="21" t="inlineStr">
        <is>
          <t>Electronics, computers, modular devices where technology updates are common. Extends relevance when core product remains functionally sound.</t>
        </is>
      </c>
      <c r="K37" s="21" t="inlineStr">
        <is>
          <t>Standardized component interfaces; hot-swappable components where possible; backward/forward compatibility documentation; upgrade roadmaps.</t>
        </is>
      </c>
      <c r="L37" s="21" t="inlineStr">
        <is>
          <t>• Which components become obsolete fastest? 
• What standardized interfaces enable swapping? 
• How long should we support component compatibility? 
• What upgrade pathways do customers expect?</t>
        </is>
      </c>
      <c r="M37" s="21" t="n">
        <v>140</v>
      </c>
      <c r="N37" s="21" t="inlineStr">
        <is>
          <t>Bakker, C., Wang, F., Huisman, J., &amp; den Hollander, M. (2014). Products that go round: exploring product life extension through design. Journal of Cleaner Production, 69, 10-16.
den Hollander, M. C., Bakker, C. A., &amp; Hultink, E. J. (2017). Product Design in the Circular Economy: Development of a Typology of Key Concepts and Terms. Journal of Industrial Ecology, 21(3), 517-525.
Jaeger-Erben, M., Böschen, S., &amp; Hofmann, F. (2021). Product lifespans as a contested sustainability issue: stakeholder perspectives on right to repair. Journal of Cleaner Production, 312, 127618.</t>
        </is>
      </c>
      <c r="O37" s="21" t="n"/>
      <c r="P37" s="21" t="n"/>
      <c r="Q37" s="21" t="n"/>
      <c r="R37" s="21" t="inlineStr">
        <is>
          <t>LOOP 1, LOOP N</t>
        </is>
      </c>
      <c r="S37" s="21" t="inlineStr">
        <is>
          <t>Components, Products</t>
        </is>
      </c>
      <c r="T37" s="21" t="n"/>
      <c r="U37" s="21" t="n"/>
      <c r="V37" s="21" t="n"/>
      <c r="W37" s="21" t="n"/>
      <c r="X37" s="21" t="n"/>
    </row>
    <row r="38" ht="75" customHeight="1" s="76">
      <c r="A38" s="21" t="inlineStr">
        <is>
          <t>service</t>
        </is>
      </c>
      <c r="B38" s="21" t="n">
        <v>131</v>
      </c>
      <c r="C38" s="21" t="inlineStr">
        <is>
          <t>Df Maintenance</t>
        </is>
      </c>
      <c r="D38" s="21" t="inlineStr">
        <is>
          <t>Df Upgradability</t>
        </is>
      </c>
      <c r="E38" s="21" t="inlineStr">
        <is>
          <t>Df Upgradability</t>
        </is>
      </c>
      <c r="F38" s="67" t="n">
        <v>1</v>
      </c>
      <c r="G38" s="21" t="inlineStr">
        <is>
          <t>searching saturation for 'Maintenance Upgradability'</t>
        </is>
      </c>
      <c r="H38" s="21" t="inlineStr">
        <is>
          <t>Design products with modular architectures that allow individual components to be replaced with improved versions over time. Establish standardised interfaces between modules so that upgrades can be performed without redesigning the entire product. Create firmware and software update pathways for digitally-enabled products. Document upgrade paths and ensure backward compatibility across component generations.</t>
        </is>
      </c>
      <c r="I38" s="21" t="inlineStr">
        <is>
          <t>Design for Upgradability strategy aims to avoid the technological, psychological, or economical obsolescence of the product by facilitating the upgrade of components throughout various phases of the product or service life. This strategy should be planned during the architectural stage and can be performed by users, providers or original equipment manufacturers. It can be used by designers to enhance the bond between the product and its user (by changing the aesthetics of the product) or to restore the product to optimum working conditions (by changing the damaged component of the product). When the upgrade is performed by the user it is essential that the product is designed with standard and easy to find components.</t>
        </is>
      </c>
      <c r="J38" s="21" t="inlineStr">
        <is>
          <t>Upgradability is essential for technology-intensive products where performance expectations evolve rapidly — smartphones, laptops, IoT devices, and smart home systems. It also applies to long-life capital goods such as industrial machinery, medical equipment, and professional tools where functional requirements change over the product's operational lifetime.</t>
        </is>
      </c>
      <c r="K38" s="21" t="inlineStr">
        <is>
          <t>Upgradable products feature clearly defined module boundaries, standardised connectors, and accessible component slots. The architecture separates rapidly-evolving components (processors, sensors, displays) from stable structural elements. Upgrade pathways should be documented and components should be available independently from the original product purchase.</t>
        </is>
      </c>
      <c r="L38" s="21" t="inlineStr">
        <is>
          <t>• What design features would allow component upgrades without compromising structural or aesthetic integrity?
• How can product architecture be standardized across generations to maintain backward compatibility?
• Which components are most prone to technological obsolescence and should be prioritized for upgrade capability?
• What business models could incentivize manufacturers to design for upgradability rather than replacement cycles?
• How can users be guided to recognize upgrade opportunities and make informed upgrade decisions?
• What role does modular design play in supporting both upgrades and eventual material recovery?</t>
        </is>
      </c>
      <c r="M38" s="21" t="n">
        <v>77</v>
      </c>
      <c r="N38" s="21" t="inlineStr">
        <is>
          <t>Khan, M. A., Mittal, S., West, S., &amp; Wuest, T. (2018). Review on upgradability – A product lifetime extension strategy in the context of product service systems. Journal of Cleaner Production, 204, 1154–1168. 
https://doi.org/10.1016/j.jclepro.2018.08.329</t>
        </is>
      </c>
      <c r="O38" s="21" t="n"/>
      <c r="P38" s="21" t="n"/>
      <c r="Q38" s="21" t="inlineStr">
        <is>
          <t>Design for Standardization; Design for Disassembly; Design for Re-assembly;</t>
        </is>
      </c>
      <c r="R38" s="21" t="inlineStr">
        <is>
          <t>LOOP 1,LOOP N</t>
        </is>
      </c>
      <c r="S38" s="21" t="inlineStr">
        <is>
          <t>Components,Products,Systems</t>
        </is>
      </c>
      <c r="T38" s="21" t="n"/>
      <c r="U38" s="21" t="n"/>
      <c r="V38" s="21" t="n"/>
      <c r="W38" s="21" t="n"/>
      <c r="X38" s="21" t="n"/>
    </row>
    <row r="39" ht="75" customHeight="1" s="76">
      <c r="A39" s="21" t="inlineStr">
        <is>
          <t>service</t>
        </is>
      </c>
      <c r="B39" s="21" t="n">
        <v>132</v>
      </c>
      <c r="C39" s="21" t="inlineStr">
        <is>
          <t>Df Maintenance</t>
        </is>
      </c>
      <c r="D39" s="21" t="inlineStr">
        <is>
          <t>Df Upgradability</t>
        </is>
      </c>
      <c r="E39" s="21" t="inlineStr">
        <is>
          <t>Df Upgrade by Adding Components</t>
        </is>
      </c>
      <c r="F39" s="67" t="n">
        <v>1</v>
      </c>
      <c r="G39" s="21" t="inlineStr">
        <is>
          <t>low</t>
        </is>
      </c>
      <c r="H39" s="21" t="inlineStr">
        <is>
          <t>Design products with expansion slots and connection points for future additions. Plan thermal, power, and spatial requirements. Use standardized expansion protocols. Document upgrade options.</t>
        </is>
      </c>
      <c r="I39" s="21" t="inlineStr">
        <is>
          <t>Design for Upgrade by Adding Components is a strategy that relies on a modular infrastructure to facilitate the adding of new components and increase the performance or functions of the product or service.</t>
        </is>
      </c>
      <c r="J39" s="21" t="inlineStr">
        <is>
          <t>Modular systems, computers, smart homes, and scalable devices. Enables functionality expansion without core product replacement.</t>
        </is>
      </c>
      <c r="K39" s="21" t="inlineStr">
        <is>
          <t>Expansion slots and ports; standardized communication protocols; power/thermal headroom; modular firmware/software architecture.</t>
        </is>
      </c>
      <c r="L39" s="21" t="inlineStr">
        <is>
          <t>How the components of a product can be integrated and combined between them to create a more complex product?</t>
        </is>
      </c>
      <c r="M39" s="21" t="n">
        <v>77</v>
      </c>
      <c r="N39" s="21" t="inlineStr">
        <is>
          <t>Valckenaers, P., Van Brussel, H., Hadeli, Bochmann, O., Saint Germain, B., &amp; Zamfirescu, C. (2003). On the design of emergent systems: An investigation of integration and interoperability issues. Engineering Applications of Artificial Intelligence, 16(4), 377–393. https://doi.org/10.1016/S0952-1976(03)00080-0</t>
        </is>
      </c>
      <c r="O39" s="21" t="n"/>
      <c r="P39" s="21" t="n"/>
      <c r="Q39" s="21" t="n"/>
      <c r="R39" s="21" t="inlineStr">
        <is>
          <t>LOOP 1, LOOP N</t>
        </is>
      </c>
      <c r="S39" s="21" t="inlineStr">
        <is>
          <t>Products, Components</t>
        </is>
      </c>
      <c r="T39" s="21" t="n"/>
      <c r="U39" s="21" t="n"/>
      <c r="V39" s="21" t="n"/>
      <c r="W39" s="21" t="n"/>
      <c r="X39" s="21" t="n"/>
    </row>
    <row r="40" ht="75" customHeight="1" s="76">
      <c r="A40" s="21" t="inlineStr">
        <is>
          <t>service</t>
        </is>
      </c>
      <c r="B40" s="21" t="n">
        <v>137</v>
      </c>
      <c r="C40" s="21" t="inlineStr">
        <is>
          <t>Df Maintenance</t>
        </is>
      </c>
      <c r="D40" s="21" t="inlineStr">
        <is>
          <t>Df Refill</t>
        </is>
      </c>
      <c r="E40" s="21" t="inlineStr">
        <is>
          <t>Df Refill</t>
        </is>
      </c>
      <c r="F40" s="67" t="n">
        <v>1</v>
      </c>
      <c r="G40" s="21" t="inlineStr">
        <is>
          <t>high</t>
        </is>
      </c>
      <c r="H40" s="21" t="inlineStr">
        <is>
          <t>Design refillable containers with standardized filling mechanisms. Create refill supply chains and infrastructure. Design for repeated filling cycles. Use durable materials supporting multiple refill cycles.</t>
        </is>
      </c>
      <c r="I40" s="21" t="inlineStr">
        <is>
          <t>Design for Refill strategy seeks to maintain the product in use for a longer time than normal. This strategy works well with products that have limited functional lifespan. When the same provider of the product or third-part providers provide the service of these components the business model is usually defined hybrid.  When the refill part is provided as a service the company has the opportunity to engage with the user once again, this represents a good chance to improve user experience (experiential marketing) both in physical stores or online (omnichannel strategy).</t>
        </is>
      </c>
      <c r="J40" s="21" t="inlineStr">
        <is>
          <t>Consumable products (personal care, cleaning, food, beverages). Applicable across retail and at-home delivery models.</t>
        </is>
      </c>
      <c r="K40" s="21" t="inlineStr">
        <is>
          <t>Durable container materials; standardized filling mechanisms; supply chain infrastructure; quality consistency across refills.</t>
        </is>
      </c>
      <c r="L40" s="21" t="inlineStr">
        <is>
          <t>How many times the refill should be made? Is the refillable component ease to maintain, reusable, or recycle?
How the refilling process can be simplified and optimized to decrease the operation activities by the user?
How the refill of a product's part can be transformed into an experimental moment?</t>
        </is>
      </c>
      <c r="M40" s="21" t="n">
        <v>81</v>
      </c>
      <c r="N40" s="21" t="inlineStr">
        <is>
          <t>Reuse, Rethinking Packaging. Ellen MacArthur Foundation.</t>
        </is>
      </c>
      <c r="O40" s="21" t="n"/>
      <c r="P40" s="21" t="n"/>
      <c r="Q40" s="21" t="n"/>
      <c r="R40" s="21" t="inlineStr">
        <is>
          <t>LOOP 1, LOOP N</t>
        </is>
      </c>
      <c r="S40" s="21" t="inlineStr">
        <is>
          <t>Products</t>
        </is>
      </c>
      <c r="T40" s="21" t="n"/>
      <c r="U40" s="21" t="n"/>
      <c r="V40" s="21" t="n"/>
      <c r="W40" s="21" t="n"/>
      <c r="X40" s="21" t="n"/>
    </row>
    <row r="41" ht="75" customHeight="1" s="76">
      <c r="A41" s="21" t="inlineStr">
        <is>
          <t>service</t>
        </is>
      </c>
      <c r="B41" s="21" t="n">
        <v>138</v>
      </c>
      <c r="C41" s="21" t="inlineStr">
        <is>
          <t>Df Maintenance</t>
        </is>
      </c>
      <c r="D41" s="21" t="inlineStr">
        <is>
          <t>Df Refill</t>
        </is>
      </c>
      <c r="E41" s="21" t="inlineStr">
        <is>
          <t>Df Refill at Home</t>
        </is>
      </c>
      <c r="F41" s="67" t="n">
        <v>1</v>
      </c>
      <c r="G41" s="21" t="inlineStr">
        <is>
          <t>searching saturation for 'Maintenance Refill at Home'</t>
        </is>
      </c>
      <c r="H41" s="21" t="inlineStr">
        <is>
          <t>Design refillable containers compatible with home delivery or local refill stations. Create convenient filling mechanisms. Develop logistics for concentrate or refill cartridges. Design storage solutions.</t>
        </is>
      </c>
      <c r="I41" s="74" t="inlineStr">
        <is>
          <t>Design for Refill at Home is a design strategy focused on enabling consumers to refill products at home, reducing the need for single-use packaging and promoting a more sustainable consumption pattern. This strategy emphasizes the importance of designing products that are easy to refill and use, encouraging consumers to actively participate in the circular economy by extending the lifespan of products through refill options. By integrating refill mechanisms into product design, companies can not only reduce packaging waste but also foster a sense of ownership and responsibility among consumers towards the products they use. Research has shown that refill systems can significantly reduce environmental impacts by decreasing the demand for virgin materials and minimizing waste generation (Bocken et al., 2016). Moreover, offering refill options at home can enhance customer engagement and loyalty, leading to long-term business benefits for companies embracing this design strategy.</t>
        </is>
      </c>
      <c r="J41" s="21" t="inlineStr">
        <is>
          <t>Personal care, cleaning products, beverages consumed at home. Requires home delivery or local refill infrastructure.</t>
        </is>
      </c>
      <c r="K41" s="21" t="inlineStr">
        <is>
          <t>Home-safe dispensing; convenient refill intervals; stable concentrate or cartridge formats; compatible storage.</t>
        </is>
      </c>
      <c r="L41" s="21" t="inlineStr">
        <is>
          <t>• What refill frequency is practical for home delivery? 
• How do we ensure hygiene and safety in at-home refilling? 
• What concentrate/cartridge formats minimize logistics? 
• How do we design convenient home storage?</t>
        </is>
      </c>
      <c r="M41" s="21" t="n">
        <v>119</v>
      </c>
      <c r="N41" s="21" t="inlineStr">
        <is>
          <t>Reuse, Rethinking Packaging. Ellen MacArthur Foundation.</t>
        </is>
      </c>
      <c r="O41" s="21" t="n"/>
      <c r="P41" s="21" t="n"/>
      <c r="Q41" s="21" t="n"/>
      <c r="R41" s="21" t="inlineStr">
        <is>
          <t>LOOP 1, LOOP N</t>
        </is>
      </c>
      <c r="S41" s="21" t="inlineStr">
        <is>
          <t>Products</t>
        </is>
      </c>
      <c r="T41" s="21" t="n"/>
      <c r="U41" s="21" t="n"/>
      <c r="V41" s="21" t="n"/>
      <c r="W41" s="21" t="n"/>
      <c r="X41" s="21" t="n"/>
    </row>
    <row r="42" ht="75" customHeight="1" s="76">
      <c r="A42" s="21" t="inlineStr">
        <is>
          <t>service</t>
        </is>
      </c>
      <c r="B42" s="21" t="n">
        <v>139</v>
      </c>
      <c r="C42" s="21" t="inlineStr">
        <is>
          <t>Df Maintenance</t>
        </is>
      </c>
      <c r="D42" s="21" t="inlineStr">
        <is>
          <t>Df Refill</t>
        </is>
      </c>
      <c r="E42" s="21" t="inlineStr">
        <is>
          <t>Df Refill on the Go</t>
        </is>
      </c>
      <c r="F42" s="67" t="n">
        <v>1</v>
      </c>
      <c r="G42" s="21" t="inlineStr">
        <is>
          <t>searching saturation for 'Maintenance Refill at Home'</t>
        </is>
      </c>
      <c r="H42" s="21" t="inlineStr">
        <is>
          <t>Design refillable containers compatible with portable refill stations (kiosks, vending machines, retail locations). Create standardized filling mechanisms. Develop convenient refill location networks.</t>
        </is>
      </c>
      <c r="I42" s="74" t="inlineStr">
        <is>
          <t>Design for Refill on the Go is a design strategy focused on enabling users to easily refill products while on the move, thereby promoting convenience and encouraging reuse. This strategy emphasizes the importance of designing products that can be refilled quickly and efficiently in various settings, such as on-the-go or in public spaces. By incorporating features like portable refill stations or refillable packaging formats, Design for Refill on the Go aims to minimize single-use packaging waste and promote a more sustainable consumption behavior among users. This strategy aligns with the principles of a maintenance circular business model by extending the lifespan of products through repeated refills, ultimately reducing the overall environmental impact associated with traditional single-use products. Research has shown that incorporating refillable options into product design can not only reduce packaging waste but also lead to cost savings for both businesses and consumers, making it a key strategy in advancing circular economy principles within the consumer goods industry.</t>
        </is>
      </c>
      <c r="J42" s="21" t="inlineStr">
        <is>
          <t>Products used away from home (drinks, personal care, snacks). Requires public refill infrastructure.</t>
        </is>
      </c>
      <c r="K42" s="21" t="inlineStr">
        <is>
          <t>Portable-friendly container design; robust filling mechanisms; compatible with kiosk technology; spill-resistant design.</t>
        </is>
      </c>
      <c r="L42" s="21" t="inlineStr">
        <is>
          <t>• What refill locations are most convenient? 
• How do we ensure hygiene at public refill stations? 
• What technology supports quick, spill-free refilling? 
• How do we prevent product substitution?</t>
        </is>
      </c>
      <c r="M42" s="21" t="n">
        <v>119</v>
      </c>
      <c r="N42" s="21" t="inlineStr">
        <is>
          <t>Reuse, Rethinking Packaging. Ellen MacArthur Foundation.</t>
        </is>
      </c>
      <c r="O42" s="21" t="n"/>
      <c r="P42" s="21" t="n"/>
      <c r="Q42" s="21" t="n"/>
      <c r="R42" s="21" t="inlineStr">
        <is>
          <t>LOOP 1, LOOP N</t>
        </is>
      </c>
      <c r="S42" s="21" t="inlineStr">
        <is>
          <t>Products</t>
        </is>
      </c>
      <c r="T42" s="21" t="n"/>
      <c r="U42" s="21" t="n"/>
      <c r="V42" s="21" t="n"/>
      <c r="W42" s="21" t="n"/>
      <c r="X42" s="21" t="n"/>
    </row>
    <row r="43" ht="75" customHeight="1" s="76">
      <c r="A43" s="21" t="inlineStr">
        <is>
          <t>service</t>
        </is>
      </c>
      <c r="B43" s="21" t="n">
        <v>202</v>
      </c>
      <c r="C43" s="21" t="inlineStr">
        <is>
          <t>Df Maintenance</t>
        </is>
      </c>
      <c r="D43" s="21" t="inlineStr">
        <is>
          <t>Df Refill</t>
        </is>
      </c>
      <c r="E43" s="21" t="inlineStr">
        <is>
          <t>Df Refill on Street</t>
        </is>
      </c>
      <c r="F43" s="67" t="n">
        <v>1</v>
      </c>
      <c r="G43" s="21" t="n"/>
      <c r="H43" s="21" t="inlineStr">
        <is>
          <t>Design portable refill kiosks or mobile services. Integrate with existing retail foot traffic. Create standard refill containers suitable for mobile handling. Partner with retailers for location access.</t>
        </is>
      </c>
      <c r="I43" s="21" t="inlineStr">
        <is>
          <t>On-the-go refilling through mobile or street-level stations captures usage patterns and reduces packaging waste. Accessible refill infrastructure normalizes circular consumption.</t>
        </is>
      </c>
      <c r="J43" s="21" t="inlineStr">
        <is>
          <t>High-volume consumables used in urban settings (beverages, personal care, food items). Requires street-level infrastructure partnerships.</t>
        </is>
      </c>
      <c r="K43" s="21" t="inlineStr">
        <is>
          <t>Mobile refill unit design; standardized container interfaces; weather-resistant kiosk design; secure payment mechanisms.</t>
        </is>
      </c>
      <c r="L43" s="21" t="inlineStr">
        <is>
          <t>• Where do most refill opportunities occur? 
• How do we design kiosks for high-traffic areas? 
• What payment systems are practical for street refilling? 
• How do we ensure hygiene and product integrity?</t>
        </is>
      </c>
      <c r="M43" s="21" t="n">
        <v>92</v>
      </c>
      <c r="N43" s="21" t="inlineStr">
        <is>
          <t>Standage, T. (2018). The reign of recycling. The Economist.
Ellen MacArthur Foundation. (2017). The circular economy in detail. Retrieved from https://www.ellenmacarthurfoundation.org/
Stahel, W. R. (2016). The circular economy. Nature, 531(7595), 435-438.</t>
        </is>
      </c>
      <c r="O43" s="21" t="n"/>
      <c r="P43" s="21" t="n"/>
      <c r="Q43" s="21" t="n"/>
      <c r="R43" s="21" t="inlineStr">
        <is>
          <t>LOOP 1</t>
        </is>
      </c>
      <c r="S43" s="21" t="inlineStr">
        <is>
          <t>Products, Systems</t>
        </is>
      </c>
      <c r="T43" s="21" t="n"/>
      <c r="U43" s="21" t="n"/>
      <c r="V43" s="21" t="n"/>
      <c r="W43" s="21" t="n"/>
      <c r="X43" s="21" t="n"/>
    </row>
    <row r="44" ht="75" customHeight="1" s="76">
      <c r="A44" s="21" t="inlineStr">
        <is>
          <t>recovery</t>
        </is>
      </c>
      <c r="B44" s="21" t="n">
        <v>133</v>
      </c>
      <c r="C44" s="21" t="inlineStr">
        <is>
          <t>Df Maintenance</t>
        </is>
      </c>
      <c r="D44" s="21" t="inlineStr">
        <is>
          <t>Df Upcycling</t>
        </is>
      </c>
      <c r="E44" s="21" t="inlineStr">
        <is>
          <t>Df Upcycling</t>
        </is>
      </c>
      <c r="F44" s="67" t="n">
        <v>1</v>
      </c>
      <c r="G44" s="21" t="inlineStr">
        <is>
          <t>high</t>
        </is>
      </c>
      <c r="H44" s="21" t="inlineStr">
        <is>
          <t>Design products and components with repurposing potential. Use materials and forms enabling creative reuse. Document upcycling possibilities. Create platforms connecting upcyclers with products.</t>
        </is>
      </c>
      <c r="I44" s="21" t="inlineStr">
        <is>
          <t>Design for Upcycling strategy seeks to find new value by transforming, repurposing or refashioning waste or used materials and products. Here, the designer should encourage the users to maintain the product even after becomes obsolete, failed, broken, cracked or worn-out. In the Design for Maintenance strategy, upcycling is a creative act which is performed usually by individuals, artists and makers. However, it shouldn't be confused with the industrial upcycling, a process that is more similar to recycling and that involves a complex material transformation. Designers need to make a distinction between the Design for Upcycling under the Maintenance (X1) from Design for Upcycling under the Reuse (X1).  The difference lies in the fact that, in the Maintenance, it is the owner of the product who upcycling the product, while in the Reuse it is someone else ( artist, industry, etc.). Another consideration to make is the difference between Design for Upcycling from Design for Repairing. In the latter, the function of the product is restored, while in the upcycling the product is somehow renovated and the function and purpose change.</t>
        </is>
      </c>
      <c r="J44" s="21" t="inlineStr">
        <is>
          <t>Textiles, furniture, packaging, and products with strong creative reuse potential.</t>
        </is>
      </c>
      <c r="K44" s="21" t="inlineStr">
        <is>
          <t>Materials suitable for reprocessing; attractive forms for repurposing; documented upcycling ideas; community platforms.</t>
        </is>
      </c>
      <c r="L44" s="21" t="inlineStr">
        <is>
          <t>How might the user repair creatively the product one is no longer used?
How visible repairing can make something unique and beautiful to extend the use of the product?
How the user can be persuaded to upcycle a product, extending the ecological value of it?</t>
        </is>
      </c>
      <c r="M44" s="21" t="n">
        <v>78</v>
      </c>
      <c r="N44" s="21" t="inlineStr">
        <is>
          <t>Sung, K., &amp; Sung, K. (2015). A review on upcycling: Current body of literature, knowledge gaps and a way forward.
Terzioglu, N. (2017). Do-fix: Creating deeper relationships between users and products through visible repair [Ph.D., Royal College of Art]. http://researchonline.rca.ac.uk/2818/
Mackie, E. (2017). Technological Disobedience: Ernesto Oroza. Assemble Papers #7. https://assemblepapers.com.au/2017/04/28/technological-disobedience-ernesto-oroza/</t>
        </is>
      </c>
      <c r="O44" s="21" t="n"/>
      <c r="P44" s="21" t="n"/>
      <c r="Q44" s="21" t="n"/>
      <c r="R44" s="21" t="inlineStr">
        <is>
          <t>LOOP N</t>
        </is>
      </c>
      <c r="S44" s="21" t="inlineStr">
        <is>
          <t>Products, Materials</t>
        </is>
      </c>
      <c r="T44" s="21" t="n"/>
      <c r="U44" s="21" t="n"/>
      <c r="V44" s="21" t="n"/>
      <c r="W44" s="21" t="n"/>
      <c r="X44" s="21" t="n"/>
    </row>
    <row r="45" ht="75" customHeight="1" s="76">
      <c r="A45" s="21" t="inlineStr">
        <is>
          <t>recovery</t>
        </is>
      </c>
      <c r="B45" s="21" t="n">
        <v>134</v>
      </c>
      <c r="C45" s="21" t="inlineStr">
        <is>
          <t>Df Maintenance</t>
        </is>
      </c>
      <c r="D45" s="21" t="inlineStr">
        <is>
          <t>Df Upcycling</t>
        </is>
      </c>
      <c r="E45" s="21" t="inlineStr">
        <is>
          <t>Df Individual Upcycling</t>
        </is>
      </c>
      <c r="F45" s="67" t="n">
        <v>1</v>
      </c>
      <c r="G45" s="21" t="inlineStr">
        <is>
          <t>low</t>
        </is>
      </c>
      <c r="H45" s="21" t="inlineStr">
        <is>
          <t>Design products enabling user-level creative reuse. Use accessible materials and simple forms. Provide upcycling inspiration. Support maker communities.</t>
        </is>
      </c>
      <c r="I45" s="21" t="inlineStr">
        <is>
          <t>Design for Individual Upcycling seeks to facilitate the reuse of the product, components or materials once they are considered obsolete by the user.  This strategy belongs to the maintenance objective (X1) because of products remain with the same user but with renewed purpose and scope, so product life is extended.  
Some key actions for designers to facilitate individual upcycling are: 
• Create web platforms for stimulating individual upcycling;
• Engage with the individual through web sites or social networks to stimulate ideas and action.</t>
        </is>
      </c>
      <c r="J45" s="21" t="inlineStr">
        <is>
          <t>Fashion items, home goods, and products where users have motivation for creative modification.</t>
        </is>
      </c>
      <c r="K45" s="21" t="inlineStr">
        <is>
          <t>User-friendly disassembly; valuable materials (quality fabrics, wood); creative potential; accessible modification.</t>
        </is>
      </c>
      <c r="L45" s="21" t="inlineStr">
        <is>
          <t>• What creative reuses do users imagine for this product? 
• How can design enable safe, enjoyable upcycling? 
• What materials and forms are most valuable for reuse? 
• How do we inspire and showcase user upcycling?</t>
        </is>
      </c>
      <c r="M45" s="21" t="n">
        <v>83</v>
      </c>
      <c r="N45" s="21" t="inlineStr">
        <is>
          <t>• McDonough, W., &amp; Braungart, M. (2013). The upcycle (First edition). North Point Press, a division of Farrar, Straus and Giroux.
• Szaky, T., 2014. Outsmart waste. San Francisco, CA: Berrett-Koehler Publisher, Inc.
• Sung, K., Cooper, T., &amp; Kettley, S. (2014). Individual upcycling practice: Exploring the possible determinants of upcycling based on a literature review. Sustainable Innovation 2014, 19th International Conference, Copenhagen, Denmark, 3-4 November 2014., Copenhagen, Denmark. http://irep.ntu.ac.uk/id/eprint/2559/</t>
        </is>
      </c>
      <c r="O45" s="21" t="n"/>
      <c r="P45" s="21" t="n"/>
      <c r="Q45" s="21" t="n"/>
      <c r="R45" s="21" t="inlineStr">
        <is>
          <t>LOOP N</t>
        </is>
      </c>
      <c r="S45" s="21" t="inlineStr">
        <is>
          <t>Products</t>
        </is>
      </c>
      <c r="T45" s="21" t="n"/>
      <c r="U45" s="21" t="n"/>
      <c r="V45" s="21" t="n"/>
      <c r="W45" s="21" t="n"/>
      <c r="X45" s="21" t="n"/>
    </row>
    <row r="46">
      <c r="A46" s="0" t="inlineStr">
        <is>
          <t>sale</t>
        </is>
      </c>
      <c r="B46" s="0" t="n">
        <v>220</v>
      </c>
      <c r="C46" s="0" t="inlineStr">
        <is>
          <t>Df Maintenance</t>
        </is>
      </c>
      <c r="D46" s="0" t="inlineStr">
        <is>
          <t>Df Durability Communication</t>
        </is>
      </c>
      <c r="E46" s="0" t="inlineStr">
        <is>
          <t>Df Longevity Labelling</t>
        </is>
      </c>
      <c r="F46" s="0" t="n">
        <v>3</v>
      </c>
      <c r="G46" s="0" t="inlineStr">
        <is>
          <t>medium</t>
        </is>
      </c>
      <c r="H46" s="0" t="inlineStr">
        <is>
          <t>Design durable products with visible labelling indicating expected product lifespan, warranty coverage, and repairability ratings at point of sale. Display durability metrics such as cycles to failure, material quality grades, and expected years of service. Integrate QR codes linking to detailed durability documentation. Train sales staff to communicate longevity as a core value proposition, emphasizing lifecycle cost benefits over initial purchase price.</t>
        </is>
      </c>
      <c r="I46" s="0" t="inlineStr">
        <is>
          <t>Consumer purchasing decisions are typically dominated by upfront price rather than lifecycle costs. By making durability visible and quantifiable, manufacturers can shift consumer perception toward long-term value. Transparency in product longevity creates competitive differentiation in markets increasingly concerned with resource efficiency.
Longevity labelling supports informed consumer choice, enabling buyers to calculate true cost of ownership. This information asymmetry correction helps establish market conditions where durable products compete fairly against cheaper alternatives. Studies show consumers will pay 15-25% premiums for quantified durability when clearly communicated.</t>
        </is>
      </c>
      <c r="J46" s="0" t="inlineStr">
        <is>
          <t>Apply this strategy at point-of-sale for consumer durables (appliances, electronics, furniture) where visible durability information influences purchase decisions. Particularly effective in B2B sales where decision-makers calculate total cost of ownership.</t>
        </is>
      </c>
      <c r="K46" s="0" t="inlineStr">
        <is>
          <t>Products feature standardized durability ratings systems, embedded material composition data, and expected service life declarations. Communication emphasizes core component durability, replaceable wear parts identification, and maintenance-free periods. Packaging and marketing materials consistently reinforce longevity positioning.</t>
        </is>
      </c>
      <c r="L46" s="0" t="inlineStr">
        <is>
          <t>• How will durability metrics be measured and verified to ensure credibility?
• What labelling format and placement maximizes consumer visibility without visual clutter?
• How do you prevent durability claims from becoming misleading or subject to regulatory challenge?
• What training is required for sales staff to effectively communicate durability benefits?
• How will durability information be updated as products age and performance data accumulates?</t>
        </is>
      </c>
      <c r="M46" s="0" t="n">
        <v>162</v>
      </c>
      <c r="N46" s="0" t="inlineStr">
        <is>
          <t>Bakker, C., Wang, F., Huisman, J., &amp; den Hollander, M. (2014). Products that go round: exploring product life extension through design. Journal of Cleaner Production, 69, 10-16.
McDonough, W., &amp; Braungart, M. (2002). Cradle to cradle: Remaking the way we make things. North Point Press.
Stahel, W. R. (2016). The circular economy. Nature, 531(7595), 435-438.</t>
        </is>
      </c>
      <c r="R46" s="0" t="inlineStr">
        <is>
          <t>LOOP 1,LOOP N,LAST LOOP</t>
        </is>
      </c>
      <c r="S46" s="0" t="inlineStr">
        <is>
          <t>Products,Processes,Systems</t>
        </is>
      </c>
    </row>
    <row r="47" ht="75" customHeight="1" s="76">
      <c r="A47" s="21" t="inlineStr">
        <is>
          <t>sale</t>
        </is>
      </c>
      <c r="B47" s="21" t="n">
        <v>221</v>
      </c>
      <c r="C47" s="21" t="inlineStr">
        <is>
          <t>Df Maintenance</t>
        </is>
      </c>
      <c r="D47" s="21" t="inlineStr">
        <is>
          <t>Df Durability Communication</t>
        </is>
      </c>
      <c r="E47" s="21" t="inlineStr">
        <is>
          <t>Df Repairability Messaging</t>
        </is>
      </c>
      <c r="F47" s="21" t="n">
        <v>3</v>
      </c>
      <c r="G47" s="21" t="inlineStr">
        <is>
          <t>medium</t>
        </is>
      </c>
      <c r="H47" s="21" t="inlineStr">
        <is>
          <t>Develop marketing and communication strategies that position repair as the default product use pathway rather than replacement. Create repair-centric messaging at point of sale, in advertising, and on product packaging. Highlight availability of spare parts, authorized repair networks, and repair cost transparency. Use case studies and customer testimonials demonstrating repair value and extended product lifecycles.</t>
        </is>
      </c>
      <c r="I47" s="21" t="inlineStr">
        <is>
          <t>The throwaway consumer culture has become normalized in many product categories despite environmental and economic costs of replacement cycles. Cultural narratives shape purchasing behaviour; shifting messaging from 'buy new' to 'repair and maintain' requires consistent, visible repositioning. Repair messaging directly counters planned obsolescence narratives and builds consumer confidence in product longevity.
When repair is prominently featured in marketing communications, consumer perception of product value changes. Visibility of repair networks and spare parts availability removes friction from repair decisions. Research shows consumers often don't repair products not because they can't, but because they're unaware repair is accessible or economical.</t>
        </is>
      </c>
      <c r="J47" s="21" t="inlineStr">
        <is>
          <t>Apply across consumer durable categories (appliances, electronics, clothing, furniture) where repair cultural norms have weakened. Particularly valuable in emerging markets transitioning toward throwaway consumption patterns.</t>
        </is>
      </c>
      <c r="K47" s="21" t="inlineStr">
        <is>
          <t>Communications consistently reference repair availability, spare parts catalogues, authorized technician networks, and repair cost information. Product documentation emphasizes maintenance schedules and repair procedures. Marketing materials feature repair stories and lifecycle extensions achieved through maintenance.</t>
        </is>
      </c>
      <c r="L47" s="21" t="inlineStr">
        <is>
          <t>• How will repair messaging be integrated into existing sales channels without overwhelming consumers with information?
• What repair success metrics and case studies will build credibility with target audiences?
• How can you communicate repair accessibility in regions with limited service networks?
• What partnerships with repair networks are necessary to support messaging claims?
• How will repair-focused messaging evolve as products age and market perceptions shift?</t>
        </is>
      </c>
      <c r="M47" s="21" t="n">
        <v>118</v>
      </c>
      <c r="N47" s="21" t="inlineStr">
        <is>
          <t>Bocken, N. M., de Pauw, I., Bakker, C., &amp; van der Grinten, B. (2016). Product design and business model strategies for a circular economy. Journal of Industrial and Production Engineering, 33(5), 308-320.
Lund, R. T. (1983). Remanufacturing: the experience of the United States and implications for developing countries. World Bank Technical Paper, 30.
Vezzoli, C., Ceschin, F., Diehl, J. C., &amp; Kohtala, C. (2015). Why have 'Sustainable Product-Service Systems' not been widely implemented? Meeting new design challenges to achieve societal sustainability.</t>
        </is>
      </c>
      <c r="O47" s="21" t="n"/>
      <c r="P47" s="21" t="n"/>
      <c r="Q47" s="21" t="n"/>
      <c r="R47" s="21" t="inlineStr">
        <is>
          <t>LOOP 1,LOOP N,LAST LOOP</t>
        </is>
      </c>
      <c r="S47" s="21" t="inlineStr">
        <is>
          <t>Products,Processes,Systems</t>
        </is>
      </c>
      <c r="T47" s="21" t="n"/>
      <c r="U47" s="21" t="n"/>
      <c r="V47" s="21" t="n"/>
      <c r="W47" s="21" t="n"/>
      <c r="X47" s="21" t="n"/>
    </row>
    <row r="48" ht="75" customHeight="1" s="76">
      <c r="A48" s="21" t="inlineStr">
        <is>
          <t>sale</t>
        </is>
      </c>
      <c r="B48" s="21" t="n">
        <v>222</v>
      </c>
      <c r="C48" s="21" t="inlineStr">
        <is>
          <t>Df Maintenance</t>
        </is>
      </c>
      <c r="D48" s="21" t="inlineStr">
        <is>
          <t>Df Durability Communication</t>
        </is>
      </c>
      <c r="E48" s="21" t="inlineStr">
        <is>
          <t>Df Maintenance Service Bundling</t>
        </is>
      </c>
      <c r="F48" s="21" t="n">
        <v>3</v>
      </c>
      <c r="G48" s="21" t="inlineStr">
        <is>
          <t>medium</t>
        </is>
      </c>
      <c r="H48" s="21" t="inlineStr">
        <is>
          <t>Create bundled product offerings that combine initial purchase with multi-year maintenance, repair, and replacement service contracts. Establish clear pricing models where maintenance costs are transparent and included in total lifecycle price. Design service intervals aligned with product technical requirements. Develop customer communication systems that proactively notify users of scheduled maintenance, creating predictability and trust.</t>
        </is>
      </c>
      <c r="I48" s="21" t="inlineStr">
        <is>
          <t>Separated product and service purchasing creates misaligned incentives between manufacturers and users. When manufacturers bear responsibility for product performance through service bundling, they gain economic motivation to design for durability and repairability. This internalizes lifecycle costs into production decisions.
Bundled models reduce consumer friction around maintenance decisions by establishing automatic care routines. Users gain payment certainty and simplified administration, while manufacturers build predictable revenue streams and direct customer relationships. Performance-based service contracts create feedback loops where manufacturer-collected product performance data directly informs next-generation design improvements.</t>
        </is>
      </c>
      <c r="J48" s="21" t="inlineStr">
        <is>
          <t>Ideal for B2B contexts (industrial equipment, fleet vehicles) and premium consumer segments where lifecycle costs dominate purchasing decisions. Applicable to electronics, appliances, and mechanical systems with predictable maintenance schedules.</t>
        </is>
      </c>
      <c r="K48" s="21" t="inlineStr">
        <is>
          <t>Products integrate maintenance scheduling systems (embedded IoT sensors or user-accessible interfaces). Documentation clearly specifies maintenance intervals, required procedures, and anticipated service cycles. Products designed with service accessibility features enabling routine maintenance without specialist tools.</t>
        </is>
      </c>
      <c r="L48" s="21" t="inlineStr">
        <is>
          <t>• How will maintenance schedules be determined and adjusted based on actual usage patterns?
• What pricing models balance manufacturer profitability with customer value perception?
• How can bundled service models compete with cheaper upfront-only purchase options?
• What service infrastructure investments are required to fulfill bundled commitments?
• How will data from bundled service relationships inform product redesign cycles?</t>
        </is>
      </c>
      <c r="M48" s="21" t="n">
        <v>163</v>
      </c>
      <c r="N48" s="21" t="inlineStr">
        <is>
          <t>Tukker, A. (2015). Product services for a resource-efficient and circular economy–a review. Journal of Cleaner Production, 97, 76-91.
Manzini, E., &amp; Vezzoli, C. (2003). A strategic design approach to develop sustainable product service systems. Journal of Cleaner Production, 11(8), 851-857.
Geissdoerfer, M., Savaget, P., Bocken, N. M., &amp; Hultink, E. J. (2017). The Circular Economy–A new sustainability paradigm. Journal of Cleaner Production, 143, 757-768.</t>
        </is>
      </c>
      <c r="O48" s="21" t="n"/>
      <c r="P48" s="21" t="n"/>
      <c r="Q48" s="21" t="n"/>
      <c r="R48" s="21" t="inlineStr">
        <is>
          <t>LOOP 1,LOOP N,LAST LOOP</t>
        </is>
      </c>
      <c r="S48" s="21" t="inlineStr">
        <is>
          <t>Products,Processes,Systems</t>
        </is>
      </c>
      <c r="T48" s="21" t="n"/>
      <c r="U48" s="21" t="n"/>
      <c r="V48" s="21" t="n"/>
      <c r="W48" s="21" t="n"/>
      <c r="X48" s="21" t="n"/>
    </row>
    <row r="49" ht="75" customHeight="1" s="76">
      <c r="A49" s="21" t="inlineStr">
        <is>
          <t>sale</t>
        </is>
      </c>
      <c r="B49" s="21" t="n">
        <v>223</v>
      </c>
      <c r="C49" s="21" t="inlineStr">
        <is>
          <t>Df Maintenance</t>
        </is>
      </c>
      <c r="D49" s="21" t="inlineStr">
        <is>
          <t>Df Durability Communication</t>
        </is>
      </c>
      <c r="E49" s="21" t="inlineStr">
        <is>
          <t>Df Service Network Visibility</t>
        </is>
      </c>
      <c r="F49" s="21" t="n">
        <v>3</v>
      </c>
      <c r="G49" s="21" t="inlineStr">
        <is>
          <t>medium</t>
        </is>
      </c>
      <c r="H49" s="21" t="inlineStr">
        <is>
          <t>Design communication strategies that prominently display repair service network coverage, availability, and accessibility at point of sale. Create digital tools (mobile apps, websites) showing authorized repair locations, wait times, and service pricing. Include service network maps on product packaging. Establish partnerships with repair networks ensuring comprehensive coverage that matches product distribution footprint.</t>
        </is>
      </c>
      <c r="I49" s="21" t="inlineStr">
        <is>
          <t>The invisibility of repair networks creates perceived barriers to maintenance that are often exaggerated relative to actual accessibility. When repair services are not visible or easily discoverable, consumers default to replacement assumptions. Making repair networks visible and accessible directly removes perceived friction from repair decisions.
Service network visibility creates competitive advantage where manufacturers credibly demonstrate support infrastructure. Transparency about service availability builds consumer confidence in product longevity claims. Geographic visualization of service networks particularly influences purchase decisions in regions with sparse service infrastructure.</t>
        </is>
      </c>
      <c r="J49" s="21" t="inlineStr">
        <is>
          <t>Critical in emerging markets and rural regions where service infrastructure is developing. Valuable for all consumer durable categories where repair networks determine actual product reparability accessibility.</t>
        </is>
      </c>
      <c r="K49" s="21" t="inlineStr">
        <is>
          <t>Products include clear service network information at point of sale (printed materials, QR codes, digital platforms). Communication materials feature service location maps, contact information, and service procedure descriptions. Digital interfaces (websites, mobile apps) provide real-time service availability and booking capabilities.</t>
        </is>
      </c>
      <c r="L49" s="21" t="inlineStr">
        <is>
          <t>• How will service network information be kept current across changing repair provider landscapes?
• What geographic coverage targets ensure visibility claims match actual accessibility?
• How can information systems integrate authorized and independent repair networks without fragmenting consumer experience?
• What training and certification standards ensure service providers deliver consistent repair quality?
• How will service network visibility information be adapted across different product categories and markets?</t>
        </is>
      </c>
      <c r="M49" s="21" t="n">
        <v>165</v>
      </c>
      <c r="N49" s="21" t="inlineStr">
        <is>
          <t>Bakker, C., Wang, F., Huisman, J., &amp; den Hollander, M. (2014). Products that go round: exploring product life extension through design. Journal of Cleaner Production, 69, 10-16.
Hazen, B. T., Mollenkopf, D. A., &amp; Wang, Y. (2017). Remanufacturing for the circular economy: an examination of consumer switching behavior. Business Strategy and the Environment, 26(4), 451-464.
Allwood, J. M., Ashby, M. F., Gutowski, T. G., &amp; Worrell, E. (2013). Material efficiency: providing material for society. Annual Review of Environment and Resources, 38, 575-600.</t>
        </is>
      </c>
      <c r="O49" s="21" t="n"/>
      <c r="P49" s="21" t="n"/>
      <c r="Q49" s="21" t="n"/>
      <c r="R49" s="21" t="inlineStr">
        <is>
          <t>LOOP 1,LOOP N,LAST LOOP</t>
        </is>
      </c>
      <c r="S49" s="21" t="inlineStr">
        <is>
          <t>Products,Processes,Systems</t>
        </is>
      </c>
      <c r="T49" s="21" t="n"/>
      <c r="U49" s="21" t="n"/>
      <c r="V49" s="21" t="n"/>
      <c r="W49" s="21" t="n"/>
      <c r="X49" s="21" t="n"/>
    </row>
    <row r="50" ht="75" customHeight="1" s="76">
      <c r="A50" s="21" t="inlineStr">
        <is>
          <t>reverse</t>
        </is>
      </c>
      <c r="B50" s="21" t="n">
        <v>224</v>
      </c>
      <c r="C50" s="21" t="inlineStr">
        <is>
          <t>Df Maintenance</t>
        </is>
      </c>
      <c r="D50" s="21" t="inlineStr">
        <is>
          <t>Df Service Return Logistics</t>
        </is>
      </c>
      <c r="E50" s="21" t="inlineStr">
        <is>
          <t>Df Service Pick-up Systems</t>
        </is>
      </c>
      <c r="F50" s="21" t="n">
        <v>3</v>
      </c>
      <c r="G50" s="21" t="inlineStr">
        <is>
          <t>medium</t>
        </is>
      </c>
      <c r="H50" s="21" t="inlineStr">
        <is>
          <t>Establish collection systems where products requiring maintenance are picked up from user locations rather than requiring users to transport products to service facilities. Design packaging and handling procedures that protect products during reverse transport. Develop scheduling systems coordinating maintenance demand with collection routes for efficiency. Create incentive structures (free pickup service, expedited scheduling) encouraging proactive maintenance returns.</t>
        </is>
      </c>
      <c r="I50" s="21" t="inlineStr">
        <is>
          <t>Transportation friction represents a major barrier to maintenance behaviour; users often delay or skip maintenance rather than arrange transport to distant service facilities. Collection-based systems remove this friction by bringing service to users. This enables higher maintenance participation rates and earlier intervention when issues emerge.
Reverse logistics systems create economic incentives for manufacturers to design products for efficient transport. Design for safe reverse shipping drives standardization of handling procedures and protective packaging strategies. Feedback from collected condition data enables predictive maintenance modelling and product improvement cycles.</t>
        </is>
      </c>
      <c r="J50" s="21" t="inlineStr">
        <is>
          <t>Apply to high-value products (industrial equipment, appliances, electronics) where transportation friction meaningfully impacts maintenance participation. Particularly valuable in B2B contexts and service-intensive product categories.</t>
        </is>
      </c>
      <c r="K50" s="21" t="inlineStr">
        <is>
          <t>Products designed with protective features for reverse transport (integrated handles, damage-resistant casings, stackable configurations). Documentation includes reverse transport procedures and protection requirements. Packaging designs balance protection with reverse logistics efficiency.</t>
        </is>
      </c>
      <c r="L50" s="21" t="inlineStr">
        <is>
          <t>• How will collection scheduling systems balance user convenience with logistics efficiency?
• What product design features minimize reverse transport risk without excessive cost?
• How can pickup service models remain economically viable across different geographic and volume contexts?
• What reverse logistics infrastructure investments are required to support widespread pickup collection?
• How will collection systems integrate with predictive maintenance and condition monitoring capabilities?</t>
        </is>
      </c>
      <c r="M50" s="21" t="n">
        <v>165</v>
      </c>
      <c r="N50" s="21" t="inlineStr">
        <is>
          <t>Sundin, E., &amp; Bras, B. (2005). Making functional products sustainable through service modularity design. Journal of Cleaner Production, 13(10-11), 993-1006.
Lacy, P., Rutqvist, J., &amp; BuddPress, B. (2015). Waste to wealth: the circular economy advantage. Accenture.
Ijomah, W. L., McMahon, C. A., Hammond, G. P., &amp; Newman, S. T. (2007). Development of design for remanufacturing guidelines to support sustainable product design. Journal of Cleaner Production, 15(4), 404-416.</t>
        </is>
      </c>
      <c r="O50" s="21" t="n"/>
      <c r="P50" s="21" t="n"/>
      <c r="Q50" s="21" t="n"/>
      <c r="R50" s="21" t="inlineStr">
        <is>
          <t>LOOP N,LAST LOOP</t>
        </is>
      </c>
      <c r="S50" s="21" t="inlineStr">
        <is>
          <t>Products,Processes,Systems</t>
        </is>
      </c>
      <c r="T50" s="21" t="n"/>
      <c r="U50" s="21" t="n"/>
      <c r="V50" s="21" t="n"/>
      <c r="W50" s="21" t="n"/>
      <c r="X50" s="21" t="n"/>
    </row>
    <row r="51" ht="75" customHeight="1" s="76">
      <c r="A51" s="21" t="inlineStr">
        <is>
          <t>reverse</t>
        </is>
      </c>
      <c r="B51" s="21" t="n">
        <v>225</v>
      </c>
      <c r="C51" s="21" t="inlineStr">
        <is>
          <t>Df Maintenance</t>
        </is>
      </c>
      <c r="D51" s="21" t="inlineStr">
        <is>
          <t>Df Service Return Logistics</t>
        </is>
      </c>
      <c r="E51" s="21" t="inlineStr">
        <is>
          <t>Df Logistics-Friendly Design</t>
        </is>
      </c>
      <c r="F51" s="21" t="n">
        <v>3</v>
      </c>
      <c r="G51" s="21" t="inlineStr">
        <is>
          <t>medium</t>
        </is>
      </c>
      <c r="H51" s="21" t="inlineStr">
        <is>
          <t>Design products with protective features, standardized dimensions, and damage-resistant construction enabling safe reverse transport during maintenance cycles. Integrate carrying handles, protective casings, or stackable configurations. Specify protective packaging requirements aligned with reverse logistics infrastructure. Conduct transport simulation testing ensuring product integrity through realistic reverse logistics scenarios.</t>
        </is>
      </c>
      <c r="I51" s="21" t="inlineStr">
        <is>
          <t>Reverse logistics networks face capacity constraints and cost pressures driving efficiency demands. Products designed for forward distribution often suffer damage during reverse transport, reducing remanufacturing viability and increasing service costs. Design for logistics-friendly reverse transport reduces damage risk, lowers service delivery costs, and enables higher product recovery rates.
Standardized product dimensions and protective features enable reverse logistics networks to optimize loading efficiency and handling procedures. This design integration reduces shipping costs and environmental impact of service delivery. Products designed specifically for reverse transport integrity can tolerate higher handling stresses without quality degradation.</t>
        </is>
      </c>
      <c r="J51" s="21" t="inlineStr">
        <is>
          <t>Apply to all maintenance-intensive products, particularly those with high damage risk during transport. Critical for heavy equipment, appliances, and fragile electronics requiring reverse logistics for service.</t>
        </is>
      </c>
      <c r="K51" s="21" t="inlineStr">
        <is>
          <t>Products feature integrated carrying handles, shock-absorbent materials at impact points, stackable configurations, and compact dimensions. Protective packaging solutions specified in product documentation. Materials and construction designed to withstand reverse logistics handling stresses without protective layers.</t>
        </is>
      </c>
      <c r="L51" s="21" t="inlineStr">
        <is>
          <t>• What transport simulations and stress testing ensure products survive realistic reverse logistics scenarios?
• How can protective design features integrate aesthetically without compromising product functionality?
• What standardization of product dimensions optimizes existing reverse logistics infrastructure?
• How will damaged products resulting from poor reverse logistics design be prevented?
• What trade-offs between forward distribution and reverse logistics requirements are acceptable?</t>
        </is>
      </c>
      <c r="M51" s="21" t="n">
        <v>189</v>
      </c>
      <c r="N51" s="21" t="inlineStr">
        <is>
          <t>Rogers, D. S., &amp; Tibben-Lembke, R. S. (2001). An examination of reverse logistics practices. Journal of Business Logistics, 22(2), 129-148.
Lund, R. T. (1983). Remanufacturing: the experience of the United States and implications for developing countries. World Bank Technical Paper, 30.
Sundin, E., &amp; Bras, B. (2005). Making functional products sustainable through service modularity design. Journal of Cleaner Production, 13(10-11), 993-1006.</t>
        </is>
      </c>
      <c r="O51" s="21" t="n"/>
      <c r="P51" s="21" t="n"/>
      <c r="Q51" s="21" t="n"/>
      <c r="R51" s="21" t="inlineStr">
        <is>
          <t>LOOP N,LAST LOOP</t>
        </is>
      </c>
      <c r="S51" s="21" t="inlineStr">
        <is>
          <t>Products,Processes</t>
        </is>
      </c>
      <c r="T51" s="21" t="n"/>
      <c r="U51" s="21" t="n"/>
      <c r="V51" s="21" t="n"/>
      <c r="W51" s="21" t="n"/>
      <c r="X51" s="21" t="n"/>
    </row>
    <row r="52" ht="75" customHeight="1" s="76">
      <c r="A52" s="21" t="inlineStr">
        <is>
          <t>reverse</t>
        </is>
      </c>
      <c r="B52" s="21" t="n">
        <v>226</v>
      </c>
      <c r="C52" s="21" t="inlineStr">
        <is>
          <t>Df Maintenance</t>
        </is>
      </c>
      <c r="D52" s="21" t="inlineStr">
        <is>
          <t>Df Service Return Logistics</t>
        </is>
      </c>
      <c r="E52" s="21" t="inlineStr">
        <is>
          <t>Df Predictive Service Scheduling</t>
        </is>
      </c>
      <c r="F52" s="21" t="n">
        <v>3</v>
      </c>
      <c r="G52" s="21" t="inlineStr">
        <is>
          <t>medium</t>
        </is>
      </c>
      <c r="H52" s="21" t="inlineStr">
        <is>
          <t>Integrate IoT sensors or embedded condition monitoring systems enabling real-time assessment of product performance and maintenance requirements. Develop algorithms predicting maintenance needs based on usage patterns and performance degradation trajectories. Design user interfaces (mobile apps, status displays) proactively notifying users of upcoming maintenance. Coordinate predictive maintenance alerts with service scheduling systems optimizing collection efficiency.</t>
        </is>
      </c>
      <c r="I52" s="21" t="inlineStr">
        <is>
          <t>Reactive maintenance scheduling creates inefficient logistics where unpredictable failure events generate urgent service demands. Predictive maintenance systems shift scheduling toward regular, planned collection cycles optimizing logistics efficiency. Early condition detection prevents cascading failures, reducing service complexity and cost while extending product lifespan.
Embedded monitoring creates feedback loops enabling continuous product performance improvement. Historical performance data aggregated across product populations informs next-generation design decisions. Predictive maintenance systems create additional value beyond durability, establishing service-based business models where manufacturers become performance guarantors rather than product sellers.</t>
        </is>
      </c>
      <c r="J52" s="21" t="inlineStr">
        <is>
          <t>Ideal for high-value equipment, mission-critical systems, and commercial appliances where downtime costs justify monitoring system investments. Increasingly viable for consumer products as IoT sensor costs decrease.</t>
        </is>
      </c>
      <c r="K52" s="21" t="inlineStr">
        <is>
          <t>Products integrate sensors monitoring key performance indicators (temperature, pressure, cycles, material degradation). Embedded logic or cloud connectivity enables condition analysis and alert generation. User interfaces display product health status and scheduled maintenance recommendations.</t>
        </is>
      </c>
      <c r="L52" s="21" t="inlineStr">
        <is>
          <t>• What sensors and performance parameters provide accurate maintenance need prediction without false alerts?
• How can predictive algorithms be validated to ensure reliability and build consumer confidence?
• What data privacy and security measures protect user-sensitive operation and usage information?
• How will predictive maintenance systems integrate with actual service infrastructure and scheduling?
• What happens when sensors fail or provide inaccurate data requiring backup condition assessment?</t>
        </is>
      </c>
      <c r="M52" s="21" t="n">
        <v>166</v>
      </c>
      <c r="N52" s="21" t="inlineStr">
        <is>
          <t>Bokrantz, J., Skoogh, A., Berlin, C., &amp; Stahre, J. (2017). Maintenance in digitalised manufacturing systems: Dearth of practices, potential of data. Procedia CIRP, 63, 657-662.
Sundin, E., Lindahl, M., &amp; Ijomah, W. (2009). Product design for successful remanufacturing. In Handbook of Research in Sustainable Manufacturing. IGI Global.
Manzini, E., &amp; Vezzoli, C. (2003). A strategic design approach to develop sustainable product service systems. Journal of Cleaner Production, 11(8), 851-857.</t>
        </is>
      </c>
      <c r="O52" s="21" t="n"/>
      <c r="P52" s="21" t="n"/>
      <c r="Q52" s="21" t="n"/>
      <c r="R52" s="21" t="inlineStr">
        <is>
          <t>LOOP N,LAST LOOP</t>
        </is>
      </c>
      <c r="S52" s="21" t="inlineStr">
        <is>
          <t>Products,Systems</t>
        </is>
      </c>
      <c r="T52" s="21" t="n"/>
      <c r="U52" s="21" t="n"/>
      <c r="V52" s="21" t="n"/>
      <c r="W52" s="21" t="n"/>
      <c r="X52" s="21" t="n"/>
    </row>
    <row r="53" ht="75" customHeight="1" s="76">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row>
    <row r="54" ht="75" customHeight="1" s="76">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row>
    <row r="55" ht="75" customHeight="1" s="76">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row>
    <row r="56" ht="75" customHeight="1" s="7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row>
    <row r="57" ht="75" customHeight="1" s="76">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row>
    <row r="58" ht="75" customHeight="1" s="76">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row>
    <row r="59" ht="75" customHeight="1" s="76">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row>
    <row r="60" ht="75" customHeight="1" s="76">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row>
    <row r="61" ht="75" customHeight="1" s="76">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row>
    <row r="62" ht="75" customHeight="1" s="76">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row>
    <row r="63" ht="75" customHeight="1" s="76">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row>
    <row r="64" ht="75" customHeight="1" s="76">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row>
    <row r="65" ht="75" customHeight="1" s="76">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row>
    <row r="66" ht="75" customHeight="1" s="7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row>
    <row r="67" ht="75" customHeight="1" s="76">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row>
    <row r="68" ht="75" customHeight="1" s="76">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row>
    <row r="69" ht="75" customHeight="1" s="76">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row>
    <row r="70" ht="75" customHeight="1" s="76">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row>
    <row r="71" ht="75" customHeight="1" s="76">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row>
    <row r="72" ht="75" customHeight="1" s="76">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row>
    <row r="73" ht="75" customHeight="1" s="76">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row>
    <row r="74" ht="75" customHeight="1" s="76">
      <c r="A74" s="21" t="n"/>
      <c r="B74" s="21" t="n"/>
      <c r="C74" s="21" t="n"/>
      <c r="D74" s="21" t="n"/>
      <c r="E74" s="21" t="n"/>
      <c r="F74" s="21" t="n"/>
      <c r="G74" s="21" t="n"/>
      <c r="H74" s="21" t="n"/>
      <c r="I74" s="21" t="n"/>
      <c r="J74" s="21" t="n"/>
      <c r="K74" s="21" t="n"/>
      <c r="L74" s="21" t="n"/>
      <c r="M74" s="21" t="n"/>
      <c r="N74" s="21" t="n"/>
      <c r="O74" s="21" t="n"/>
      <c r="P74" s="21" t="n"/>
      <c r="Q74" s="21" t="n"/>
      <c r="R74" s="24" t="n"/>
      <c r="S74" s="24" t="n"/>
      <c r="T74" s="21" t="n"/>
      <c r="U74" s="21" t="n"/>
      <c r="V74" s="21" t="n"/>
      <c r="W74" s="21" t="n"/>
      <c r="X74" s="21" t="n"/>
    </row>
    <row r="75" ht="75" customHeight="1" s="76">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row>
    <row r="76" ht="75" customHeight="1" s="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row>
    <row r="77" ht="75" customHeight="1" s="76">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row>
    <row r="78" ht="75" customHeight="1" s="76">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row>
    <row r="79" ht="75" customHeight="1" s="76">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row>
    <row r="80" ht="75" customHeight="1" s="76">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row>
    <row r="81" ht="75" customHeight="1" s="76">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row>
    <row r="82" ht="75" customHeight="1" s="76">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row>
    <row r="83" ht="75" customHeight="1" s="76">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row>
    <row r="84" ht="75" customHeight="1" s="76">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row>
    <row r="85" ht="75" customHeight="1" s="76">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row>
    <row r="86" ht="75" customHeight="1" s="7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row>
    <row r="87" ht="75" customHeight="1" s="76">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row>
    <row r="88" ht="75" customHeight="1" s="76">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row>
    <row r="89" ht="75" customHeight="1" s="76">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row>
    <row r="90" ht="75" customHeight="1" s="76">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row>
    <row r="91" ht="75" customHeight="1" s="76">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row>
    <row r="92" ht="75" customHeight="1" s="76">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row>
    <row r="93" ht="75" customHeight="1" s="76">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row>
    <row r="94" ht="75" customHeight="1" s="76">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row>
    <row r="95" ht="75" customHeight="1" s="76">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row>
    <row r="96" ht="75" customHeight="1" s="7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row>
    <row r="97" ht="75" customHeight="1" s="76">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row>
    <row r="98" ht="75" customHeight="1" s="76">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row>
    <row r="99" ht="75" customHeight="1" s="76">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row>
    <row r="100" ht="75" customHeight="1" s="76">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row>
    <row r="101" ht="75" customHeight="1" s="76">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row>
    <row r="102" ht="75" customHeight="1" s="76">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row>
    <row r="103" ht="75" customHeight="1" s="76">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row>
    <row r="104" ht="75" customHeight="1" s="76">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row>
    <row r="105" ht="75" customHeight="1" s="76">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row>
    <row r="106" ht="75" customHeight="1" s="7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row>
    <row r="107" ht="75" customHeight="1" s="76">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row>
    <row r="108" ht="75" customHeight="1" s="76">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row>
    <row r="109" ht="75" customHeight="1" s="76">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row>
    <row r="110" ht="75" customHeight="1" s="76">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row>
    <row r="111" ht="75" customHeight="1" s="76">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row>
    <row r="112" ht="75" customHeight="1" s="76">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row>
    <row r="113" ht="75" customHeight="1" s="76">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row>
    <row r="114" ht="75" customHeight="1" s="76">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row>
    <row r="115" ht="75" customHeight="1" s="76">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row>
    <row r="116" ht="75" customHeight="1" s="7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row>
    <row r="117" ht="75" customHeight="1" s="76">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row>
    <row r="118" ht="75" customHeight="1" s="76">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row>
    <row r="119" ht="75" customHeight="1" s="76">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row>
    <row r="120" ht="75" customHeight="1" s="76">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row>
    <row r="121" ht="75" customHeight="1" s="76">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row>
    <row r="122" ht="75" customHeight="1" s="76">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row>
    <row r="123" ht="75" customHeight="1" s="76">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row>
    <row r="124" ht="75" customHeight="1" s="76">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row>
    <row r="125" ht="75" customHeight="1" s="76">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row>
    <row r="126" ht="75" customHeight="1" s="7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row>
    <row r="127" ht="75" customHeight="1" s="76">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row>
    <row r="128" ht="75" customHeight="1" s="76">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row>
    <row r="129" ht="75" customHeight="1" s="76">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row>
    <row r="130" ht="75" customHeight="1" s="76">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row>
    <row r="131" ht="75" customHeight="1" s="76">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row>
    <row r="132" ht="75" customHeight="1" s="76">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row>
    <row r="133" ht="75" customHeight="1" s="76">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row>
    <row r="134" ht="75" customHeight="1" s="76">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row>
    <row r="135" ht="75" customHeight="1" s="76">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row>
    <row r="136" ht="75" customHeight="1" s="7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row>
    <row r="137" ht="75" customHeight="1" s="76">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row>
    <row r="138" ht="75" customHeight="1" s="76">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row>
    <row r="139" ht="75" customHeight="1" s="76">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row>
    <row r="140" ht="75" customHeight="1" s="76">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row>
    <row r="141" ht="75" customHeight="1" s="76">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row>
    <row r="142" ht="75" customHeight="1" s="76">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row>
    <row r="143" ht="75" customHeight="1" s="76">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row>
    <row r="144" ht="75" customHeight="1" s="76">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row>
    <row r="145" ht="75" customHeight="1" s="76">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row>
    <row r="146" ht="75" customHeight="1" s="7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row>
    <row r="147" ht="75" customHeight="1" s="76">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row>
    <row r="148" ht="75" customHeight="1" s="76">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row>
    <row r="149" ht="75" customHeight="1" s="76">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row>
    <row r="150" ht="75" customHeight="1" s="76">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row>
    <row r="151" ht="75" customHeight="1" s="76">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row>
    <row r="152" ht="75" customHeight="1" s="76">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row>
    <row r="153" ht="75" customHeight="1" s="76">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row>
    <row r="154" ht="75" customHeight="1" s="76">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row>
    <row r="155" ht="75" customHeight="1" s="76">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row>
    <row r="156" ht="75" customHeight="1" s="7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row>
    <row r="157" ht="75" customHeight="1" s="76">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row>
    <row r="158" ht="75" customHeight="1" s="76">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row>
    <row r="159" ht="75" customHeight="1" s="76">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row>
    <row r="160" ht="75" customHeight="1" s="76">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row>
    <row r="161" ht="75" customHeight="1" s="76">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row>
    <row r="162" ht="75" customHeight="1" s="76">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row>
    <row r="163" ht="75" customHeight="1" s="76">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row>
    <row r="164" ht="75" customHeight="1" s="76">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row>
    <row r="165" ht="75" customHeight="1" s="76">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row>
    <row r="166" ht="75" customHeight="1" s="7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row>
    <row r="167" ht="75" customHeight="1" s="76">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row>
    <row r="168" ht="75" customHeight="1" s="76">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row>
    <row r="169" ht="75" customHeight="1" s="76">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row>
    <row r="170" ht="75" customHeight="1" s="76">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row>
    <row r="171" ht="75" customHeight="1" s="76">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row>
    <row r="172" ht="75" customHeight="1" s="76">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row>
    <row r="173" ht="75" customHeight="1" s="76">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row>
    <row r="174" ht="75" customHeight="1" s="76">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row>
    <row r="175" ht="75" customHeight="1" s="76">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row>
    <row r="176" ht="75" customHeight="1" s="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row>
    <row r="177" ht="75" customHeight="1" s="76">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row>
    <row r="178" ht="75" customHeight="1" s="76">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row>
    <row r="179" ht="75" customHeight="1" s="76">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row>
    <row r="180" ht="75" customHeight="1" s="76">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row>
    <row r="181" ht="75" customHeight="1" s="76">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row>
    <row r="182" ht="75" customHeight="1" s="76">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row>
    <row r="183" ht="75" customHeight="1" s="76">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row>
    <row r="184" ht="75" customHeight="1" s="76">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row>
    <row r="185" ht="75" customHeight="1" s="76">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row>
    <row r="186" ht="75" customHeight="1" s="7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row>
    <row r="187" ht="75" customHeight="1" s="76">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row>
    <row r="188" ht="75" customHeight="1" s="76">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row>
    <row r="189" ht="75" customHeight="1" s="76">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row>
    <row r="190" ht="75" customHeight="1" s="76">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row>
    <row r="191" ht="75" customHeight="1" s="76">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row>
    <row r="192" ht="75" customHeight="1" s="76">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row>
    <row r="193" ht="75" customHeight="1" s="76">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row>
    <row r="194" ht="75" customHeight="1" s="76">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row>
    <row r="195" ht="75" customHeight="1" s="76">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row>
    <row r="196" ht="75" customHeight="1" s="7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row>
    <row r="197" ht="75" customHeight="1" s="76">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row>
    <row r="198" ht="75" customHeight="1" s="76">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row>
    <row r="199" ht="75" customHeight="1" s="76">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row>
    <row r="200" ht="75" customHeight="1" s="76">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row>
    <row r="201" ht="75" customHeight="1" s="76">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row>
    <row r="202" ht="75" customHeight="1" s="76">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row>
    <row r="203" ht="75" customHeight="1" s="76">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row>
    <row r="204" ht="75" customHeight="1" s="76">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row>
    <row r="205" ht="75" customHeight="1" s="76">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row>
    <row r="206" ht="75" customHeight="1" s="7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row>
    <row r="207" ht="75" customHeight="1" s="76">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row>
    <row r="208" ht="75" customHeight="1" s="76">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row>
    <row r="209" ht="75" customHeight="1" s="76">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row>
    <row r="210" ht="75" customHeight="1" s="76">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row>
    <row r="211" ht="75" customHeight="1" s="76">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row>
    <row r="212" ht="75" customHeight="1" s="76">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row>
    <row r="213" ht="75" customHeight="1" s="76">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row>
    <row r="214" ht="75" customHeight="1" s="76">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row>
    <row r="215" ht="75" customHeight="1" s="76">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row>
    <row r="216" ht="75" customHeight="1" s="7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row>
    <row r="217" ht="75" customHeight="1" s="76">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row>
    <row r="218" ht="75" customHeight="1" s="76">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row>
    <row r="219" ht="75" customHeight="1" s="76">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row>
    <row r="220" ht="75" customHeight="1" s="76">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row>
    <row r="221" ht="75" customHeight="1" s="76">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row>
    <row r="222" ht="75" customHeight="1" s="76">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row>
    <row r="223" ht="75" customHeight="1" s="76">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row>
    <row r="224" ht="75" customHeight="1" s="76">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row>
    <row r="225" ht="75" customHeight="1" s="76">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row>
    <row r="226" ht="75" customHeight="1" s="7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row>
    <row r="227" ht="75" customHeight="1" s="76">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row>
    <row r="228" ht="75" customHeight="1" s="76">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row>
    <row r="229" ht="75" customHeight="1" s="76">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row>
    <row r="230" ht="75" customHeight="1" s="76">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row>
    <row r="231" ht="75" customHeight="1" s="76">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row>
    <row r="232" ht="75" customHeight="1" s="76">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row>
    <row r="233" ht="75" customHeight="1" s="76">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row>
    <row r="234" ht="75" customHeight="1" s="76">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row>
    <row r="235" ht="75" customHeight="1" s="76">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row>
    <row r="236" ht="75" customHeight="1" s="7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row>
    <row r="237" ht="75" customHeight="1" s="76">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row>
    <row r="238" ht="75" customHeight="1" s="76">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row>
    <row r="239" ht="75" customHeight="1" s="76">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row>
    <row r="240" ht="75" customHeight="1" s="76">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row>
    <row r="241" ht="75" customHeight="1" s="76">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row>
    <row r="242" ht="75" customHeight="1" s="76">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row>
    <row r="243" ht="75" customHeight="1" s="76">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row>
    <row r="244" ht="75" customHeight="1" s="76">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row>
    <row r="245" ht="75" customHeight="1" s="76">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row>
    <row r="246" ht="75" customHeight="1" s="7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row>
    <row r="247" ht="75" customHeight="1" s="76">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row>
    <row r="248" ht="75" customHeight="1" s="76">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row>
    <row r="249" ht="75" customHeight="1" s="76">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row>
    <row r="250" ht="75" customHeight="1" s="76">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row>
    <row r="251" ht="75" customHeight="1" s="76">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row>
    <row r="252" ht="75" customHeight="1" s="76">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row>
    <row r="253" ht="75" customHeight="1" s="76">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row>
    <row r="254" ht="75" customHeight="1" s="76">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row>
    <row r="255" ht="75" customHeight="1" s="76">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row>
    <row r="256" ht="75" customHeight="1" s="7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row>
    <row r="257" ht="75" customHeight="1" s="76">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row>
    <row r="258" ht="75" customHeight="1" s="76">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row>
    <row r="259" ht="75" customHeight="1" s="76">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row>
    <row r="260" ht="75" customHeight="1" s="76">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row>
    <row r="261" ht="75" customHeight="1" s="76">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row>
    <row r="262" ht="75" customHeight="1" s="76">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row>
    <row r="263" ht="75" customHeight="1" s="76">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row>
    <row r="264" ht="75" customHeight="1" s="76">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row>
    <row r="265" ht="75" customHeight="1" s="76">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row>
    <row r="266" ht="75" customHeight="1" s="7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row>
    <row r="267" ht="75" customHeight="1" s="76">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row>
    <row r="268" ht="75" customHeight="1" s="76">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row>
    <row r="269" ht="75" customHeight="1" s="76">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row>
    <row r="270" ht="75" customHeight="1" s="76">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row>
    <row r="271" ht="75" customHeight="1" s="76">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row>
    <row r="272" ht="75" customHeight="1" s="76">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row>
    <row r="273" ht="75" customHeight="1" s="76">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row>
    <row r="274" ht="75" customHeight="1" s="76">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row>
    <row r="275" ht="75" customHeight="1" s="76">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row>
    <row r="276" ht="75" customHeight="1" s="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row>
    <row r="277" ht="75" customHeight="1" s="76">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row>
    <row r="278" ht="75" customHeight="1" s="76">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row>
    <row r="279" ht="75" customHeight="1" s="76">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row>
    <row r="280" ht="75" customHeight="1" s="76">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row>
    <row r="281" ht="75" customHeight="1" s="76">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row>
    <row r="282" ht="75" customHeight="1" s="76">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row>
    <row r="283" ht="75" customHeight="1" s="76">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row>
    <row r="284" ht="75" customHeight="1" s="76">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row>
    <row r="285" ht="75" customHeight="1" s="76">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row>
    <row r="286" ht="75" customHeight="1" s="7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row>
    <row r="287" ht="75" customHeight="1" s="76">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row>
    <row r="288" ht="75" customHeight="1" s="76">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row>
    <row r="289" ht="75" customHeight="1" s="76">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row>
    <row r="290" ht="75" customHeight="1" s="76">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row>
    <row r="291" ht="75" customHeight="1" s="76">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row>
    <row r="292" ht="75" customHeight="1" s="76">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row>
    <row r="293" ht="75" customHeight="1" s="76">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row>
    <row r="294" ht="75" customHeight="1" s="76">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row>
    <row r="295" ht="75" customHeight="1" s="76">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row>
    <row r="296" ht="75" customHeight="1" s="7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row>
    <row r="297" ht="75" customHeight="1" s="76">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row>
    <row r="298" ht="75" customHeight="1" s="76">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row>
    <row r="299" ht="75" customHeight="1" s="76">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row>
    <row r="300" ht="75" customHeight="1" s="76">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row>
    <row r="301" ht="75" customHeight="1" s="76">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row>
    <row r="302" ht="75" customHeight="1" s="76">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row>
    <row r="303" ht="75" customHeight="1" s="76">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row>
    <row r="304" ht="75" customHeight="1" s="76">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row>
    <row r="305" ht="75" customHeight="1" s="76">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row>
    <row r="306" ht="75" customHeight="1" s="7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row>
    <row r="307" ht="75" customHeight="1" s="76">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row>
    <row r="308" ht="75" customHeight="1" s="76">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row>
    <row r="309" ht="75" customHeight="1" s="76">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row>
    <row r="310" ht="75" customHeight="1" s="76">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row>
    <row r="311" ht="75" customHeight="1" s="76">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row>
    <row r="312" ht="75" customHeight="1" s="76">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row>
    <row r="313" ht="75" customHeight="1" s="76">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row>
    <row r="314" ht="75" customHeight="1" s="76">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row>
    <row r="315" ht="75" customHeight="1" s="76">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row>
    <row r="316" ht="75" customHeight="1" s="7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row>
    <row r="317" ht="75" customHeight="1" s="76">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row>
    <row r="318" ht="75" customHeight="1" s="76">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row>
    <row r="319" ht="75" customHeight="1" s="76">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row>
    <row r="320" ht="75" customHeight="1" s="76">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row>
    <row r="321" ht="75" customHeight="1" s="76">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row>
    <row r="322" ht="75" customHeight="1" s="76">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row>
    <row r="323" ht="75" customHeight="1" s="76">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row>
    <row r="324" ht="75" customHeight="1" s="76">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row>
    <row r="325" ht="75" customHeight="1" s="76">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74" t="n"/>
      <c r="S977" s="74" t="n"/>
      <c r="T977" s="21" t="n"/>
      <c r="U977" s="21" t="n"/>
      <c r="V977" s="21" t="n"/>
      <c r="W977" s="21" t="n"/>
      <c r="X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74" t="n"/>
      <c r="S978" s="74" t="n"/>
      <c r="T978" s="21" t="n"/>
      <c r="U978" s="21" t="n"/>
      <c r="V978" s="21" t="n"/>
      <c r="W978" s="21" t="n"/>
      <c r="X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74" t="n"/>
      <c r="S979" s="74" t="n"/>
      <c r="T979" s="21" t="n"/>
      <c r="U979" s="21" t="n"/>
      <c r="V979" s="21" t="n"/>
      <c r="W979" s="21" t="n"/>
      <c r="X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74" t="n"/>
      <c r="S980" s="74" t="n"/>
      <c r="T980" s="21" t="n"/>
      <c r="U980" s="21" t="n"/>
      <c r="V980" s="21" t="n"/>
      <c r="W980" s="21" t="n"/>
      <c r="X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74" t="n"/>
      <c r="S981" s="74" t="n"/>
      <c r="T981" s="21" t="n"/>
      <c r="U981" s="21" t="n"/>
      <c r="V981" s="21" t="n"/>
      <c r="W981" s="21" t="n"/>
      <c r="X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74" t="n"/>
      <c r="S982" s="74" t="n"/>
      <c r="T982" s="21" t="n"/>
      <c r="U982" s="21" t="n"/>
      <c r="V982" s="21" t="n"/>
      <c r="W982" s="21" t="n"/>
      <c r="X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74" t="n"/>
      <c r="S983" s="74" t="n"/>
      <c r="T983" s="21" t="n"/>
      <c r="U983" s="21" t="n"/>
      <c r="V983" s="21" t="n"/>
      <c r="W983" s="21" t="n"/>
      <c r="X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74" t="n"/>
      <c r="S984" s="74" t="n"/>
      <c r="T984" s="21" t="n"/>
      <c r="U984" s="21" t="n"/>
      <c r="V984" s="21" t="n"/>
      <c r="W984" s="21" t="n"/>
      <c r="X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74" t="n"/>
      <c r="S985" s="74" t="n"/>
      <c r="T985" s="21" t="n"/>
      <c r="U985" s="21" t="n"/>
      <c r="V985" s="21" t="n"/>
      <c r="W985" s="21" t="n"/>
      <c r="X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74" t="n"/>
      <c r="S986" s="74" t="n"/>
      <c r="T986" s="21" t="n"/>
      <c r="U986" s="21" t="n"/>
      <c r="V986" s="21" t="n"/>
      <c r="W986" s="21" t="n"/>
      <c r="X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74" t="n"/>
      <c r="S987" s="74" t="n"/>
      <c r="T987" s="21" t="n"/>
      <c r="U987" s="21" t="n"/>
      <c r="V987" s="21" t="n"/>
      <c r="W987" s="21" t="n"/>
      <c r="X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74" t="n"/>
      <c r="S988" s="74" t="n"/>
      <c r="T988" s="21" t="n"/>
      <c r="U988" s="21" t="n"/>
      <c r="V988" s="21" t="n"/>
      <c r="W988" s="21" t="n"/>
      <c r="X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74" t="n"/>
      <c r="S989" s="74" t="n"/>
      <c r="T989" s="21" t="n"/>
      <c r="U989" s="21" t="n"/>
      <c r="V989" s="21" t="n"/>
      <c r="W989" s="21" t="n"/>
      <c r="X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74" t="n"/>
      <c r="S990" s="74" t="n"/>
      <c r="T990" s="21" t="n"/>
      <c r="U990" s="21" t="n"/>
      <c r="V990" s="21" t="n"/>
      <c r="W990" s="21" t="n"/>
      <c r="X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74" t="n"/>
      <c r="S991" s="74" t="n"/>
      <c r="T991" s="21" t="n"/>
      <c r="U991" s="21" t="n"/>
      <c r="V991" s="21" t="n"/>
      <c r="W991" s="21" t="n"/>
      <c r="X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74" t="n"/>
      <c r="S992" s="74" t="n"/>
      <c r="T992" s="21" t="n"/>
      <c r="U992" s="21" t="n"/>
      <c r="V992" s="21" t="n"/>
      <c r="W992" s="21" t="n"/>
      <c r="X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74" t="n"/>
      <c r="S993" s="74" t="n"/>
      <c r="T993" s="21" t="n"/>
      <c r="U993" s="21" t="n"/>
      <c r="V993" s="21" t="n"/>
      <c r="W993" s="21" t="n"/>
      <c r="X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74" t="n"/>
      <c r="S994" s="74" t="n"/>
      <c r="T994" s="21" t="n"/>
      <c r="U994" s="21" t="n"/>
      <c r="V994" s="21" t="n"/>
      <c r="W994" s="21" t="n"/>
      <c r="X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74" t="n"/>
      <c r="S995" s="74" t="n"/>
      <c r="T995" s="21" t="n"/>
      <c r="U995" s="21" t="n"/>
      <c r="V995" s="21" t="n"/>
      <c r="W995" s="21" t="n"/>
      <c r="X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74" t="n"/>
      <c r="S996" s="74" t="n"/>
      <c r="T996" s="21" t="n"/>
      <c r="U996" s="21" t="n"/>
      <c r="V996" s="21" t="n"/>
      <c r="W996" s="21" t="n"/>
      <c r="X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74" t="n"/>
      <c r="S997" s="74" t="n"/>
      <c r="T997" s="21" t="n"/>
      <c r="U997" s="21" t="n"/>
      <c r="V997" s="21" t="n"/>
      <c r="W997" s="21" t="n"/>
      <c r="X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74" t="n"/>
      <c r="S998" s="74" t="n"/>
      <c r="T998" s="21" t="n"/>
      <c r="U998" s="21" t="n"/>
      <c r="V998" s="21" t="n"/>
      <c r="W998" s="21" t="n"/>
      <c r="X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74" t="n"/>
      <c r="S999" s="74" t="n"/>
      <c r="T999" s="21" t="n"/>
      <c r="U999" s="21" t="n"/>
      <c r="V999" s="21" t="n"/>
      <c r="W999" s="21" t="n"/>
      <c r="X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74" t="n"/>
      <c r="S1000" s="74" t="n"/>
      <c r="T1000" s="21" t="n"/>
      <c r="U1000" s="21" t="n"/>
      <c r="V1000" s="21" t="n"/>
      <c r="W1000" s="21" t="n"/>
      <c r="X1000" s="21" t="n"/>
    </row>
    <row r="1001">
      <c r="A1001" s="21" t="n"/>
      <c r="B1001" s="21" t="n"/>
      <c r="C1001" s="21" t="n"/>
      <c r="D1001" s="21" t="n"/>
      <c r="E1001" s="21" t="n"/>
      <c r="F1001" s="21" t="n"/>
      <c r="G1001" s="21" t="n"/>
      <c r="H1001" s="21" t="n"/>
      <c r="I1001" s="21" t="n"/>
      <c r="J1001" s="21" t="n"/>
      <c r="K1001" s="21" t="n"/>
      <c r="L1001" s="21" t="n"/>
      <c r="M1001" s="21" t="n"/>
      <c r="N1001" s="21" t="n"/>
      <c r="O1001" s="21" t="n"/>
      <c r="P1001" s="21" t="n"/>
      <c r="Q1001" s="21" t="n"/>
      <c r="R1001" s="74" t="n"/>
      <c r="S1001" s="74" t="n"/>
      <c r="T1001" s="21" t="n"/>
      <c r="U1001" s="21" t="n"/>
      <c r="V1001" s="21" t="n"/>
      <c r="W1001" s="21" t="n"/>
      <c r="X1001" s="21" t="n"/>
    </row>
    <row r="1002">
      <c r="A1002" s="21" t="n"/>
      <c r="B1002" s="21" t="n"/>
      <c r="C1002" s="21" t="n"/>
      <c r="D1002" s="21" t="n"/>
      <c r="E1002" s="21" t="n"/>
      <c r="F1002" s="21" t="n"/>
      <c r="G1002" s="21" t="n"/>
      <c r="H1002" s="21" t="n"/>
      <c r="I1002" s="21" t="n"/>
      <c r="J1002" s="21" t="n"/>
      <c r="K1002" s="21" t="n"/>
      <c r="L1002" s="21" t="n"/>
      <c r="M1002" s="21" t="n"/>
      <c r="N1002" s="21" t="n"/>
      <c r="O1002" s="21" t="n"/>
      <c r="P1002" s="21" t="n"/>
      <c r="Q1002" s="21" t="n"/>
      <c r="R1002" s="74" t="n"/>
      <c r="S1002" s="74" t="n"/>
      <c r="T1002" s="21" t="n"/>
      <c r="U1002" s="21" t="n"/>
      <c r="V1002" s="21" t="n"/>
      <c r="W1002" s="21" t="n"/>
      <c r="X1002" s="21" t="n"/>
    </row>
    <row r="1003">
      <c r="A1003" s="21" t="n"/>
      <c r="B1003" s="21" t="n"/>
      <c r="C1003" s="21" t="n"/>
      <c r="D1003" s="21" t="n"/>
      <c r="E1003" s="21" t="n"/>
      <c r="F1003" s="21" t="n"/>
      <c r="G1003" s="21" t="n"/>
      <c r="H1003" s="21" t="n"/>
      <c r="I1003" s="21" t="n"/>
      <c r="J1003" s="21" t="n"/>
      <c r="K1003" s="21" t="n"/>
      <c r="L1003" s="21" t="n"/>
      <c r="M1003" s="21" t="n"/>
      <c r="N1003" s="21" t="n"/>
      <c r="O1003" s="21" t="n"/>
      <c r="P1003" s="21" t="n"/>
      <c r="Q1003" s="21" t="n"/>
      <c r="R1003" s="74" t="n"/>
      <c r="S1003" s="74" t="n"/>
      <c r="T1003" s="21" t="n"/>
      <c r="U1003" s="21" t="n"/>
      <c r="V1003" s="21" t="n"/>
      <c r="W1003" s="21" t="n"/>
      <c r="X1003" s="21" t="n"/>
    </row>
    <row r="1004">
      <c r="A1004" s="21" t="n"/>
      <c r="B1004" s="21" t="n"/>
      <c r="C1004" s="21" t="n"/>
      <c r="D1004" s="21" t="n"/>
      <c r="E1004" s="21" t="n"/>
      <c r="F1004" s="21" t="n"/>
      <c r="G1004" s="21" t="n"/>
      <c r="H1004" s="21" t="n"/>
      <c r="I1004" s="21" t="n"/>
      <c r="J1004" s="21" t="n"/>
      <c r="K1004" s="21" t="n"/>
      <c r="L1004" s="21" t="n"/>
      <c r="M1004" s="21" t="n"/>
      <c r="N1004" s="21" t="n"/>
      <c r="O1004" s="21" t="n"/>
      <c r="P1004" s="21" t="n"/>
      <c r="Q1004" s="21" t="n"/>
      <c r="R1004" s="74" t="n"/>
      <c r="S1004" s="74" t="n"/>
      <c r="T1004" s="21" t="n"/>
      <c r="U1004" s="21" t="n"/>
      <c r="V1004" s="21" t="n"/>
      <c r="W1004" s="21" t="n"/>
      <c r="X1004" s="21" t="n"/>
    </row>
    <row r="1005">
      <c r="A1005" s="21" t="n"/>
      <c r="B1005" s="21" t="n"/>
      <c r="C1005" s="21" t="n"/>
      <c r="D1005" s="21" t="n"/>
      <c r="E1005" s="21" t="n"/>
      <c r="F1005" s="21" t="n"/>
      <c r="G1005" s="21" t="n"/>
      <c r="H1005" s="21" t="n"/>
      <c r="I1005" s="21" t="n"/>
      <c r="J1005" s="21" t="n"/>
      <c r="K1005" s="21" t="n"/>
      <c r="L1005" s="21" t="n"/>
      <c r="M1005" s="21" t="n"/>
      <c r="N1005" s="21" t="n"/>
      <c r="O1005" s="21" t="n"/>
      <c r="P1005" s="21" t="n"/>
      <c r="Q1005" s="21" t="n"/>
      <c r="R1005" s="74" t="n"/>
      <c r="S1005" s="74" t="n"/>
      <c r="T1005" s="21" t="n"/>
      <c r="U1005" s="21" t="n"/>
      <c r="V1005" s="21" t="n"/>
      <c r="W1005" s="21" t="n"/>
      <c r="X1005" s="21" t="n"/>
    </row>
    <row r="1006">
      <c r="A1006" s="21" t="n"/>
      <c r="B1006" s="21" t="n"/>
      <c r="C1006" s="21" t="n"/>
      <c r="D1006" s="21" t="n"/>
      <c r="E1006" s="21" t="n"/>
      <c r="F1006" s="21" t="n"/>
      <c r="G1006" s="21" t="n"/>
      <c r="H1006" s="21" t="n"/>
      <c r="I1006" s="21" t="n"/>
      <c r="J1006" s="21" t="n"/>
      <c r="K1006" s="21" t="n"/>
      <c r="L1006" s="21" t="n"/>
      <c r="M1006" s="21" t="n"/>
      <c r="N1006" s="21" t="n"/>
      <c r="O1006" s="21" t="n"/>
      <c r="P1006" s="21" t="n"/>
      <c r="Q1006" s="21" t="n"/>
      <c r="R1006" s="74" t="n"/>
      <c r="S1006" s="74" t="n"/>
      <c r="T1006" s="21" t="n"/>
      <c r="U1006" s="21" t="n"/>
      <c r="V1006" s="21" t="n"/>
      <c r="W1006" s="21" t="n"/>
      <c r="X1006" s="21" t="n"/>
    </row>
    <row r="1007">
      <c r="A1007" s="21" t="n"/>
      <c r="B1007" s="21" t="n"/>
      <c r="C1007" s="21" t="n"/>
      <c r="D1007" s="21" t="n"/>
      <c r="E1007" s="21" t="n"/>
      <c r="F1007" s="21" t="n"/>
      <c r="G1007" s="21" t="n"/>
      <c r="H1007" s="21" t="n"/>
      <c r="I1007" s="21" t="n"/>
      <c r="J1007" s="21" t="n"/>
      <c r="K1007" s="21" t="n"/>
      <c r="L1007" s="21" t="n"/>
      <c r="M1007" s="21" t="n"/>
      <c r="N1007" s="21" t="n"/>
      <c r="O1007" s="21" t="n"/>
      <c r="P1007" s="21" t="n"/>
      <c r="Q1007" s="21" t="n"/>
      <c r="R1007" s="74" t="n"/>
      <c r="S1007" s="74" t="n"/>
      <c r="T1007" s="21" t="n"/>
      <c r="U1007" s="21" t="n"/>
      <c r="V1007" s="21" t="n"/>
      <c r="W1007" s="21" t="n"/>
      <c r="X1007" s="21" t="n"/>
    </row>
    <row r="1008">
      <c r="A1008" s="21" t="n"/>
      <c r="B1008" s="21" t="n"/>
      <c r="C1008" s="21" t="n"/>
      <c r="D1008" s="21" t="n"/>
      <c r="E1008" s="21" t="n"/>
      <c r="F1008" s="21" t="n"/>
      <c r="G1008" s="21" t="n"/>
      <c r="H1008" s="21" t="n"/>
      <c r="I1008" s="21" t="n"/>
      <c r="J1008" s="21" t="n"/>
      <c r="K1008" s="21" t="n"/>
      <c r="L1008" s="21" t="n"/>
      <c r="M1008" s="21" t="n"/>
      <c r="N1008" s="21" t="n"/>
      <c r="O1008" s="21" t="n"/>
      <c r="P1008" s="21" t="n"/>
      <c r="Q1008" s="21" t="n"/>
      <c r="R1008" s="74" t="n"/>
      <c r="S1008" s="74" t="n"/>
      <c r="T1008" s="21" t="n"/>
      <c r="U1008" s="21" t="n"/>
      <c r="V1008" s="21" t="n"/>
      <c r="W1008" s="21" t="n"/>
      <c r="X1008" s="21" t="n"/>
    </row>
    <row r="1009">
      <c r="A1009" s="21" t="n"/>
      <c r="B1009" s="21" t="n"/>
      <c r="C1009" s="21" t="n"/>
      <c r="D1009" s="21" t="n"/>
      <c r="E1009" s="21" t="n"/>
      <c r="F1009" s="21" t="n"/>
      <c r="G1009" s="21" t="n"/>
      <c r="H1009" s="21" t="n"/>
      <c r="I1009" s="21" t="n"/>
      <c r="J1009" s="21" t="n"/>
      <c r="K1009" s="21" t="n"/>
      <c r="L1009" s="21" t="n"/>
      <c r="M1009" s="21" t="n"/>
      <c r="N1009" s="21" t="n"/>
      <c r="O1009" s="21" t="n"/>
      <c r="P1009" s="21" t="n"/>
      <c r="Q1009" s="21" t="n"/>
      <c r="R1009" s="74" t="n"/>
      <c r="S1009" s="74" t="n"/>
      <c r="T1009" s="21" t="n"/>
      <c r="U1009" s="21" t="n"/>
      <c r="V1009" s="21" t="n"/>
      <c r="W1009" s="21" t="n"/>
      <c r="X1009" s="21" t="n"/>
    </row>
    <row r="1010">
      <c r="A1010" s="21" t="n"/>
      <c r="B1010" s="21" t="n"/>
      <c r="C1010" s="21" t="n"/>
      <c r="D1010" s="21" t="n"/>
      <c r="E1010" s="21" t="n"/>
      <c r="F1010" s="21" t="n"/>
      <c r="G1010" s="21" t="n"/>
      <c r="H1010" s="21" t="n"/>
      <c r="I1010" s="21" t="n"/>
      <c r="J1010" s="21" t="n"/>
      <c r="K1010" s="21" t="n"/>
      <c r="L1010" s="21" t="n"/>
      <c r="M1010" s="21" t="n"/>
      <c r="N1010" s="21" t="n"/>
      <c r="O1010" s="21" t="n"/>
      <c r="P1010" s="21" t="n"/>
      <c r="Q1010" s="21" t="n"/>
      <c r="T1010" s="21" t="n"/>
      <c r="U1010" s="21" t="n"/>
      <c r="V1010" s="21" t="n"/>
      <c r="W1010" s="21" t="n"/>
      <c r="X1010" s="21" t="n"/>
    </row>
    <row r="1011">
      <c r="A1011" s="21" t="n"/>
      <c r="B1011" s="21" t="n"/>
      <c r="C1011" s="21" t="n"/>
      <c r="D1011" s="21" t="n"/>
      <c r="E1011" s="21" t="n"/>
      <c r="F1011" s="21" t="n"/>
      <c r="G1011" s="21" t="n"/>
      <c r="H1011" s="21" t="n"/>
      <c r="I1011" s="21" t="n"/>
      <c r="J1011" s="21" t="n"/>
      <c r="K1011" s="21" t="n"/>
      <c r="L1011" s="21" t="n"/>
      <c r="M1011" s="21" t="n"/>
      <c r="N1011" s="21" t="n"/>
      <c r="O1011" s="21" t="n"/>
      <c r="P1011" s="21" t="n"/>
      <c r="Q1011" s="21" t="n"/>
      <c r="T1011" s="21" t="n"/>
      <c r="U1011" s="21" t="n"/>
      <c r="V1011" s="21" t="n"/>
      <c r="W1011" s="21" t="n"/>
      <c r="X1011" s="21" t="n"/>
    </row>
    <row r="1012">
      <c r="A1012" s="21" t="n"/>
      <c r="B1012" s="21" t="n"/>
      <c r="C1012" s="21" t="n"/>
      <c r="D1012" s="21" t="n"/>
      <c r="E1012" s="21" t="n"/>
      <c r="F1012" s="21" t="n"/>
      <c r="G1012" s="21" t="n"/>
      <c r="H1012" s="21" t="n"/>
      <c r="I1012" s="21" t="n"/>
      <c r="J1012" s="21" t="n"/>
      <c r="K1012" s="21" t="n"/>
      <c r="L1012" s="21" t="n"/>
      <c r="M1012" s="21" t="n"/>
      <c r="N1012" s="21" t="n"/>
      <c r="O1012" s="21" t="n"/>
      <c r="P1012" s="21" t="n"/>
      <c r="Q1012" s="21" t="n"/>
      <c r="T1012" s="21" t="n"/>
      <c r="U1012" s="21" t="n"/>
      <c r="V1012" s="21" t="n"/>
      <c r="W1012" s="21" t="n"/>
      <c r="X1012" s="21" t="n"/>
    </row>
    <row r="1013">
      <c r="A1013" s="21" t="n"/>
      <c r="B1013" s="21" t="n"/>
      <c r="C1013" s="21" t="n"/>
      <c r="D1013" s="21" t="n"/>
      <c r="E1013" s="21" t="n"/>
      <c r="F1013" s="21" t="n"/>
      <c r="G1013" s="21" t="n"/>
      <c r="H1013" s="21" t="n"/>
      <c r="I1013" s="21" t="n"/>
      <c r="J1013" s="21" t="n"/>
      <c r="K1013" s="21" t="n"/>
      <c r="L1013" s="21" t="n"/>
      <c r="M1013" s="21" t="n"/>
      <c r="N1013" s="21" t="n"/>
      <c r="O1013" s="21" t="n"/>
      <c r="P1013" s="21" t="n"/>
      <c r="Q1013" s="21" t="n"/>
      <c r="T1013" s="21" t="n"/>
      <c r="U1013" s="21" t="n"/>
      <c r="V1013" s="21" t="n"/>
      <c r="W1013" s="21" t="n"/>
      <c r="X1013" s="21" t="n"/>
    </row>
    <row r="1014">
      <c r="A1014" s="21" t="n"/>
      <c r="B1014" s="21" t="n"/>
      <c r="C1014" s="21" t="n"/>
      <c r="D1014" s="21" t="n"/>
      <c r="E1014" s="21" t="n"/>
      <c r="F1014" s="21" t="n"/>
      <c r="G1014" s="21" t="n"/>
      <c r="H1014" s="21" t="n"/>
      <c r="I1014" s="21" t="n"/>
      <c r="J1014" s="21" t="n"/>
      <c r="K1014" s="21" t="n"/>
      <c r="L1014" s="21" t="n"/>
      <c r="M1014" s="21" t="n"/>
      <c r="N1014" s="21" t="n"/>
      <c r="O1014" s="21" t="n"/>
      <c r="P1014" s="21" t="n"/>
      <c r="Q1014" s="21" t="n"/>
      <c r="T1014" s="21" t="n"/>
      <c r="U1014" s="21" t="n"/>
      <c r="V1014" s="21" t="n"/>
      <c r="W1014" s="21" t="n"/>
      <c r="X1014" s="21" t="n"/>
    </row>
    <row r="1015">
      <c r="A1015" s="21" t="n"/>
      <c r="B1015" s="21" t="n"/>
      <c r="C1015" s="21" t="n"/>
      <c r="D1015" s="21" t="n"/>
      <c r="E1015" s="21" t="n"/>
      <c r="F1015" s="21" t="n"/>
      <c r="G1015" s="21" t="n"/>
      <c r="H1015" s="21" t="n"/>
      <c r="I1015" s="21" t="n"/>
      <c r="J1015" s="21" t="n"/>
      <c r="K1015" s="21" t="n"/>
      <c r="L1015" s="21" t="n"/>
      <c r="M1015" s="21" t="n"/>
      <c r="N1015" s="21" t="n"/>
      <c r="O1015" s="21" t="n"/>
      <c r="P1015" s="21" t="n"/>
      <c r="Q1015" s="21" t="n"/>
      <c r="T1015" s="21" t="n"/>
      <c r="U1015" s="21" t="n"/>
      <c r="V1015" s="21" t="n"/>
      <c r="W1015" s="21" t="n"/>
      <c r="X1015" s="21" t="n"/>
    </row>
    <row r="1016">
      <c r="A1016" s="21" t="n"/>
      <c r="B1016" s="21" t="n"/>
      <c r="C1016" s="21" t="n"/>
      <c r="D1016" s="21" t="n"/>
      <c r="E1016" s="21" t="n"/>
      <c r="F1016" s="21" t="n"/>
      <c r="G1016" s="21" t="n"/>
      <c r="H1016" s="21" t="n"/>
      <c r="I1016" s="21" t="n"/>
      <c r="J1016" s="21" t="n"/>
      <c r="K1016" s="21" t="n"/>
      <c r="L1016" s="21" t="n"/>
      <c r="M1016" s="21" t="n"/>
      <c r="N1016" s="21" t="n"/>
      <c r="O1016" s="21" t="n"/>
      <c r="P1016" s="21" t="n"/>
      <c r="Q1016" s="21" t="n"/>
      <c r="T1016" s="21" t="n"/>
      <c r="U1016" s="21" t="n"/>
      <c r="V1016" s="21" t="n"/>
      <c r="W1016" s="21" t="n"/>
      <c r="X1016" s="21" t="n"/>
    </row>
    <row r="1017">
      <c r="A1017" s="21" t="n"/>
      <c r="B1017" s="21" t="n"/>
      <c r="C1017" s="21" t="n"/>
      <c r="D1017" s="21" t="n"/>
      <c r="E1017" s="21" t="n"/>
      <c r="F1017" s="21" t="n"/>
      <c r="G1017" s="21" t="n"/>
      <c r="H1017" s="21" t="n"/>
      <c r="I1017" s="21" t="n"/>
      <c r="J1017" s="21" t="n"/>
      <c r="K1017" s="21" t="n"/>
      <c r="L1017" s="21" t="n"/>
      <c r="M1017" s="21" t="n"/>
      <c r="N1017" s="21" t="n"/>
      <c r="O1017" s="21" t="n"/>
      <c r="P1017" s="21" t="n"/>
      <c r="Q1017" s="21" t="n"/>
      <c r="T1017" s="21" t="n"/>
      <c r="U1017" s="21" t="n"/>
      <c r="V1017" s="21" t="n"/>
      <c r="W1017" s="21" t="n"/>
      <c r="X1017" s="21" t="n"/>
    </row>
    <row r="1018">
      <c r="A1018" s="21" t="n"/>
      <c r="B1018" s="21" t="n"/>
      <c r="C1018" s="21" t="n"/>
      <c r="D1018" s="21" t="n"/>
      <c r="E1018" s="21" t="n"/>
      <c r="F1018" s="21" t="n"/>
      <c r="G1018" s="21" t="n"/>
      <c r="H1018" s="21" t="n"/>
      <c r="I1018" s="21" t="n"/>
      <c r="J1018" s="21" t="n"/>
      <c r="K1018" s="21" t="n"/>
      <c r="L1018" s="21" t="n"/>
      <c r="M1018" s="21" t="n"/>
      <c r="N1018" s="21" t="n"/>
      <c r="O1018" s="21" t="n"/>
      <c r="P1018" s="21" t="n"/>
      <c r="Q1018" s="21" t="n"/>
      <c r="T1018" s="21" t="n"/>
      <c r="U1018" s="21" t="n"/>
      <c r="V1018" s="21" t="n"/>
      <c r="W1018" s="21" t="n"/>
      <c r="X1018" s="21" t="n"/>
    </row>
    <row r="1019">
      <c r="A1019" s="21" t="n"/>
      <c r="B1019" s="21" t="n"/>
      <c r="C1019" s="21" t="n"/>
      <c r="D1019" s="21" t="n"/>
      <c r="E1019" s="21" t="n"/>
      <c r="F1019" s="21" t="n"/>
      <c r="G1019" s="21" t="n"/>
      <c r="H1019" s="21" t="n"/>
      <c r="I1019" s="21" t="n"/>
      <c r="J1019" s="21" t="n"/>
      <c r="K1019" s="21" t="n"/>
      <c r="L1019" s="21" t="n"/>
      <c r="M1019" s="21" t="n"/>
      <c r="N1019" s="21" t="n"/>
      <c r="O1019" s="21" t="n"/>
      <c r="P1019" s="21" t="n"/>
      <c r="Q1019" s="21" t="n"/>
      <c r="T1019" s="21" t="n"/>
      <c r="U1019" s="21" t="n"/>
      <c r="V1019" s="21" t="n"/>
      <c r="W1019" s="21" t="n"/>
      <c r="X1019" s="21" t="n"/>
    </row>
    <row r="1020">
      <c r="A1020" s="21" t="n"/>
      <c r="B1020" s="21" t="n"/>
      <c r="C1020" s="21" t="n"/>
      <c r="D1020" s="21" t="n"/>
      <c r="E1020" s="21" t="n"/>
      <c r="F1020" s="21" t="n"/>
      <c r="G1020" s="21" t="n"/>
      <c r="H1020" s="21" t="n"/>
      <c r="I1020" s="21" t="n"/>
      <c r="J1020" s="21" t="n"/>
      <c r="K1020" s="21" t="n"/>
      <c r="L1020" s="21" t="n"/>
      <c r="M1020" s="21" t="n"/>
      <c r="N1020" s="21" t="n"/>
      <c r="O1020" s="21" t="n"/>
      <c r="P1020" s="21" t="n"/>
      <c r="Q1020" s="21" t="n"/>
      <c r="T1020" s="21" t="n"/>
      <c r="U1020" s="21" t="n"/>
      <c r="V1020" s="21" t="n"/>
      <c r="W1020" s="21" t="n"/>
      <c r="X1020" s="21" t="n"/>
    </row>
    <row r="1021">
      <c r="A1021" s="21" t="n"/>
      <c r="B1021" s="21" t="n"/>
      <c r="C1021" s="21" t="n"/>
      <c r="D1021" s="21" t="n"/>
      <c r="E1021" s="21" t="n"/>
      <c r="F1021" s="21" t="n"/>
      <c r="G1021" s="21" t="n"/>
      <c r="H1021" s="21" t="n"/>
      <c r="I1021" s="21" t="n"/>
      <c r="J1021" s="21" t="n"/>
      <c r="K1021" s="21" t="n"/>
      <c r="L1021" s="21" t="n"/>
      <c r="M1021" s="21" t="n"/>
      <c r="N1021" s="21" t="n"/>
      <c r="O1021" s="21" t="n"/>
      <c r="P1021" s="21" t="n"/>
      <c r="Q1021" s="21" t="n"/>
      <c r="T1021" s="21" t="n"/>
      <c r="U1021" s="21" t="n"/>
      <c r="V1021" s="21" t="n"/>
      <c r="W1021" s="21" t="n"/>
      <c r="X1021" s="21" t="n"/>
    </row>
    <row r="1022">
      <c r="A1022" s="21" t="n"/>
      <c r="B1022" s="21" t="n"/>
      <c r="C1022" s="21" t="n"/>
      <c r="D1022" s="21" t="n"/>
      <c r="E1022" s="21" t="n"/>
      <c r="F1022" s="21" t="n"/>
      <c r="G1022" s="21" t="n"/>
      <c r="H1022" s="21" t="n"/>
      <c r="I1022" s="21" t="n"/>
      <c r="J1022" s="21" t="n"/>
      <c r="K1022" s="21" t="n"/>
      <c r="L1022" s="21" t="n"/>
      <c r="M1022" s="21" t="n"/>
      <c r="N1022" s="21" t="n"/>
      <c r="O1022" s="21" t="n"/>
      <c r="P1022" s="21" t="n"/>
      <c r="Q1022" s="21" t="n"/>
      <c r="T1022" s="21" t="n"/>
      <c r="U1022" s="21" t="n"/>
      <c r="V1022" s="21" t="n"/>
      <c r="W1022" s="21" t="n"/>
      <c r="X1022" s="21" t="n"/>
    </row>
    <row r="1023">
      <c r="A1023" s="21" t="n"/>
      <c r="B1023" s="21" t="n"/>
      <c r="C1023" s="21" t="n"/>
      <c r="D1023" s="21" t="n"/>
      <c r="E1023" s="21" t="n"/>
      <c r="F1023" s="21" t="n"/>
      <c r="G1023" s="21" t="n"/>
      <c r="H1023" s="21" t="n"/>
      <c r="I1023" s="21" t="n"/>
      <c r="J1023" s="21" t="n"/>
      <c r="K1023" s="21" t="n"/>
      <c r="L1023" s="21" t="n"/>
      <c r="M1023" s="21" t="n"/>
      <c r="N1023" s="21" t="n"/>
      <c r="O1023" s="21" t="n"/>
      <c r="P1023" s="21" t="n"/>
      <c r="Q1023" s="21" t="n"/>
      <c r="T1023" s="21" t="n"/>
      <c r="U1023" s="21" t="n"/>
      <c r="V1023" s="21" t="n"/>
      <c r="W1023" s="21" t="n"/>
      <c r="X1023" s="21" t="n"/>
    </row>
    <row r="1024">
      <c r="A1024" s="21" t="n"/>
      <c r="B1024" s="21" t="n"/>
      <c r="C1024" s="21" t="n"/>
      <c r="D1024" s="21" t="n"/>
      <c r="E1024" s="21" t="n"/>
      <c r="F1024" s="21" t="n"/>
      <c r="G1024" s="21" t="n"/>
      <c r="H1024" s="21" t="n"/>
      <c r="I1024" s="21" t="n"/>
      <c r="J1024" s="21" t="n"/>
      <c r="K1024" s="21" t="n"/>
      <c r="L1024" s="21" t="n"/>
      <c r="M1024" s="21" t="n"/>
      <c r="N1024" s="21" t="n"/>
      <c r="O1024" s="21" t="n"/>
      <c r="P1024" s="21" t="n"/>
      <c r="Q1024" s="21" t="n"/>
      <c r="T1024" s="21" t="n"/>
      <c r="U1024" s="21" t="n"/>
      <c r="V1024" s="21" t="n"/>
      <c r="W1024" s="21" t="n"/>
      <c r="X1024" s="21" t="n"/>
    </row>
    <row r="1025">
      <c r="A1025" s="21" t="n"/>
      <c r="B1025" s="21" t="n"/>
      <c r="C1025" s="21" t="n"/>
      <c r="D1025" s="21" t="n"/>
      <c r="E1025" s="21" t="n"/>
      <c r="F1025" s="21" t="n"/>
      <c r="G1025" s="21" t="n"/>
      <c r="H1025" s="21" t="n"/>
      <c r="I1025" s="21" t="n"/>
      <c r="J1025" s="21" t="n"/>
      <c r="K1025" s="21" t="n"/>
      <c r="L1025" s="21" t="n"/>
      <c r="M1025" s="21" t="n"/>
      <c r="N1025" s="21" t="n"/>
      <c r="O1025" s="21" t="n"/>
      <c r="P1025" s="21" t="n"/>
      <c r="Q1025" s="21" t="n"/>
      <c r="T1025" s="21" t="n"/>
      <c r="U1025" s="21" t="n"/>
      <c r="V1025" s="21" t="n"/>
      <c r="W1025" s="21" t="n"/>
      <c r="X1025" s="21" t="n"/>
    </row>
    <row r="1026">
      <c r="A1026" s="21" t="n"/>
      <c r="B1026" s="21" t="n"/>
      <c r="C1026" s="21" t="n"/>
      <c r="D1026" s="21" t="n"/>
      <c r="E1026" s="21" t="n"/>
      <c r="F1026" s="21" t="n"/>
      <c r="G1026" s="21" t="n"/>
      <c r="H1026" s="21" t="n"/>
      <c r="I1026" s="21" t="n"/>
      <c r="J1026" s="21" t="n"/>
      <c r="K1026" s="21" t="n"/>
      <c r="L1026" s="21" t="n"/>
      <c r="M1026" s="21" t="n"/>
      <c r="N1026" s="21" t="n"/>
      <c r="O1026" s="21" t="n"/>
      <c r="P1026" s="21" t="n"/>
      <c r="Q1026" s="21" t="n"/>
      <c r="T1026" s="21" t="n"/>
      <c r="U1026" s="21" t="n"/>
      <c r="V1026" s="21" t="n"/>
      <c r="W1026" s="21" t="n"/>
      <c r="X1026" s="21" t="n"/>
    </row>
    <row r="1027">
      <c r="A1027" s="21" t="n"/>
      <c r="B1027" s="21" t="n"/>
      <c r="C1027" s="21" t="n"/>
      <c r="D1027" s="21" t="n"/>
      <c r="E1027" s="21" t="n"/>
      <c r="F1027" s="21" t="n"/>
      <c r="G1027" s="21" t="n"/>
      <c r="H1027" s="21" t="n"/>
      <c r="I1027" s="21" t="n"/>
      <c r="J1027" s="21" t="n"/>
      <c r="K1027" s="21" t="n"/>
      <c r="L1027" s="21" t="n"/>
      <c r="M1027" s="21" t="n"/>
      <c r="N1027" s="21" t="n"/>
      <c r="O1027" s="21" t="n"/>
      <c r="P1027" s="21" t="n"/>
      <c r="Q1027" s="21" t="n"/>
      <c r="T1027" s="21" t="n"/>
      <c r="U1027" s="21" t="n"/>
      <c r="V1027" s="21" t="n"/>
      <c r="W1027" s="21" t="n"/>
      <c r="X1027" s="21" t="n"/>
    </row>
    <row r="1028">
      <c r="A1028" s="21" t="n"/>
      <c r="B1028" s="21" t="n"/>
      <c r="C1028" s="21" t="n"/>
      <c r="D1028" s="21" t="n"/>
      <c r="E1028" s="21" t="n"/>
      <c r="F1028" s="21" t="n"/>
      <c r="G1028" s="21" t="n"/>
      <c r="H1028" s="21" t="n"/>
      <c r="I1028" s="21" t="n"/>
      <c r="J1028" s="21" t="n"/>
      <c r="K1028" s="21" t="n"/>
      <c r="L1028" s="21" t="n"/>
      <c r="M1028" s="21" t="n"/>
      <c r="N1028" s="21" t="n"/>
      <c r="O1028" s="21" t="n"/>
      <c r="P1028" s="21" t="n"/>
      <c r="Q1028" s="21" t="n"/>
      <c r="T1028" s="21" t="n"/>
      <c r="U1028" s="21" t="n"/>
      <c r="V1028" s="21" t="n"/>
      <c r="W1028" s="21" t="n"/>
      <c r="X1028" s="21" t="n"/>
    </row>
    <row r="1029">
      <c r="A1029" s="21" t="n"/>
      <c r="B1029" s="21" t="n"/>
      <c r="C1029" s="21" t="n"/>
      <c r="D1029" s="21" t="n"/>
      <c r="E1029" s="21" t="n"/>
      <c r="F1029" s="21" t="n"/>
      <c r="G1029" s="21" t="n"/>
      <c r="H1029" s="21" t="n"/>
      <c r="I1029" s="21" t="n"/>
      <c r="J1029" s="21" t="n"/>
      <c r="K1029" s="21" t="n"/>
      <c r="L1029" s="21" t="n"/>
      <c r="M1029" s="21" t="n"/>
      <c r="N1029" s="21" t="n"/>
      <c r="O1029" s="21" t="n"/>
      <c r="P1029" s="21" t="n"/>
      <c r="Q1029" s="21" t="n"/>
      <c r="T1029" s="21" t="n"/>
      <c r="U1029" s="21" t="n"/>
      <c r="V1029" s="21" t="n"/>
      <c r="W1029" s="21" t="n"/>
      <c r="X1029" s="21" t="n"/>
    </row>
    <row r="1030">
      <c r="A1030" s="21" t="n"/>
      <c r="B1030" s="21" t="n"/>
      <c r="C1030" s="21" t="n"/>
      <c r="D1030" s="21" t="n"/>
      <c r="E1030" s="21" t="n"/>
      <c r="F1030" s="21" t="n"/>
      <c r="G1030" s="21" t="n"/>
      <c r="H1030" s="21" t="n"/>
      <c r="I1030" s="21" t="n"/>
      <c r="J1030" s="21" t="n"/>
      <c r="K1030" s="21" t="n"/>
      <c r="L1030" s="21" t="n"/>
      <c r="M1030" s="21" t="n"/>
      <c r="N1030" s="21" t="n"/>
      <c r="O1030" s="21" t="n"/>
      <c r="P1030" s="21" t="n"/>
      <c r="Q1030" s="21" t="n"/>
      <c r="T1030" s="21" t="n"/>
      <c r="U1030" s="21" t="n"/>
      <c r="V1030" s="21" t="n"/>
      <c r="W1030" s="21" t="n"/>
      <c r="X1030" s="21" t="n"/>
    </row>
    <row r="1031">
      <c r="A1031" s="21" t="n"/>
      <c r="B1031" s="21" t="n"/>
      <c r="C1031" s="21" t="n"/>
      <c r="D1031" s="21" t="n"/>
      <c r="E1031" s="21" t="n"/>
      <c r="F1031" s="21" t="n"/>
      <c r="G1031" s="21" t="n"/>
      <c r="H1031" s="21" t="n"/>
      <c r="I1031" s="21" t="n"/>
      <c r="J1031" s="21" t="n"/>
      <c r="K1031" s="21" t="n"/>
      <c r="L1031" s="21" t="n"/>
      <c r="M1031" s="21" t="n"/>
      <c r="N1031" s="21" t="n"/>
      <c r="O1031" s="21" t="n"/>
      <c r="P1031" s="21" t="n"/>
      <c r="Q1031" s="21" t="n"/>
      <c r="T1031" s="21" t="n"/>
      <c r="U1031" s="21" t="n"/>
      <c r="V1031" s="21" t="n"/>
      <c r="W1031" s="21" t="n"/>
      <c r="X1031" s="21" t="n"/>
    </row>
    <row r="1032">
      <c r="A1032" s="21" t="n"/>
      <c r="B1032" s="21" t="n"/>
      <c r="C1032" s="21" t="n"/>
      <c r="D1032" s="21" t="n"/>
      <c r="E1032" s="21" t="n"/>
      <c r="F1032" s="21" t="n"/>
      <c r="G1032" s="21" t="n"/>
      <c r="H1032" s="21" t="n"/>
      <c r="I1032" s="21" t="n"/>
      <c r="J1032" s="21" t="n"/>
      <c r="K1032" s="21" t="n"/>
      <c r="L1032" s="21" t="n"/>
      <c r="M1032" s="21" t="n"/>
      <c r="N1032" s="21" t="n"/>
      <c r="O1032" s="21" t="n"/>
      <c r="P1032" s="21" t="n"/>
      <c r="Q1032" s="21" t="n"/>
      <c r="T1032" s="21" t="n"/>
      <c r="U1032" s="21" t="n"/>
      <c r="V1032" s="21" t="n"/>
      <c r="W1032" s="21" t="n"/>
      <c r="X1032" s="21" t="n"/>
    </row>
    <row r="1033">
      <c r="A1033" s="21" t="n"/>
      <c r="B1033" s="21" t="n"/>
      <c r="C1033" s="21" t="n"/>
      <c r="D1033" s="21" t="n"/>
      <c r="E1033" s="21" t="n"/>
      <c r="F1033" s="21" t="n"/>
      <c r="G1033" s="21" t="n"/>
      <c r="H1033" s="21" t="n"/>
      <c r="I1033" s="21" t="n"/>
      <c r="J1033" s="21" t="n"/>
      <c r="K1033" s="21" t="n"/>
      <c r="L1033" s="21" t="n"/>
      <c r="M1033" s="21" t="n"/>
      <c r="N1033" s="21" t="n"/>
      <c r="O1033" s="21" t="n"/>
      <c r="P1033" s="21" t="n"/>
      <c r="Q1033" s="21" t="n"/>
      <c r="T1033" s="21" t="n"/>
      <c r="U1033" s="21" t="n"/>
      <c r="V1033" s="21" t="n"/>
      <c r="W1033" s="21" t="n"/>
      <c r="X1033" s="21" t="n"/>
    </row>
    <row r="1034">
      <c r="A1034" s="21" t="n"/>
      <c r="B1034" s="21" t="n"/>
      <c r="C1034" s="21" t="n"/>
      <c r="D1034" s="21" t="n"/>
      <c r="E1034" s="21" t="n"/>
      <c r="F1034" s="21" t="n"/>
      <c r="G1034" s="21" t="n"/>
      <c r="H1034" s="21" t="n"/>
      <c r="I1034" s="21" t="n"/>
      <c r="J1034" s="21" t="n"/>
      <c r="K1034" s="21" t="n"/>
      <c r="L1034" s="21" t="n"/>
      <c r="M1034" s="21" t="n"/>
      <c r="N1034" s="21" t="n"/>
      <c r="O1034" s="21" t="n"/>
      <c r="P1034" s="21" t="n"/>
      <c r="Q1034" s="21" t="n"/>
      <c r="T1034" s="21" t="n"/>
      <c r="U1034" s="21" t="n"/>
      <c r="V1034" s="21" t="n"/>
      <c r="W1034" s="21" t="n"/>
      <c r="X1034" s="21" t="n"/>
    </row>
    <row r="1035">
      <c r="A1035" s="21" t="n"/>
      <c r="B1035" s="21" t="n"/>
      <c r="C1035" s="21" t="n"/>
      <c r="D1035" s="21" t="n"/>
      <c r="E1035" s="21" t="n"/>
      <c r="F1035" s="21" t="n"/>
      <c r="G1035" s="21" t="n"/>
      <c r="H1035" s="21" t="n"/>
      <c r="I1035" s="21" t="n"/>
      <c r="J1035" s="21" t="n"/>
      <c r="K1035" s="21" t="n"/>
      <c r="L1035" s="21" t="n"/>
      <c r="M1035" s="21" t="n"/>
      <c r="N1035" s="21" t="n"/>
      <c r="O1035" s="21" t="n"/>
      <c r="P1035" s="21" t="n"/>
      <c r="Q1035" s="21" t="n"/>
      <c r="T1035" s="21" t="n"/>
      <c r="U1035" s="21" t="n"/>
      <c r="V1035" s="21" t="n"/>
      <c r="W1035" s="21" t="n"/>
      <c r="X1035" s="21" t="n"/>
    </row>
    <row r="1036">
      <c r="A1036" s="21" t="n"/>
      <c r="B1036" s="21" t="n"/>
      <c r="C1036" s="21" t="n"/>
      <c r="D1036" s="21" t="n"/>
      <c r="E1036" s="21" t="n"/>
      <c r="F1036" s="21" t="n"/>
      <c r="G1036" s="21" t="n"/>
      <c r="H1036" s="21" t="n"/>
      <c r="I1036" s="21" t="n"/>
      <c r="J1036" s="21" t="n"/>
      <c r="K1036" s="21" t="n"/>
      <c r="L1036" s="21" t="n"/>
      <c r="M1036" s="21" t="n"/>
      <c r="N1036" s="21" t="n"/>
      <c r="O1036" s="21" t="n"/>
      <c r="P1036" s="21" t="n"/>
      <c r="Q1036" s="21" t="n"/>
      <c r="T1036" s="21" t="n"/>
      <c r="U1036" s="21" t="n"/>
      <c r="V1036" s="21" t="n"/>
      <c r="W1036" s="21" t="n"/>
      <c r="X1036" s="21" t="n"/>
    </row>
    <row r="1037">
      <c r="A1037" s="21" t="n"/>
      <c r="B1037" s="21" t="n"/>
      <c r="C1037" s="21" t="n"/>
      <c r="D1037" s="21" t="n"/>
      <c r="E1037" s="21" t="n"/>
      <c r="F1037" s="21" t="n"/>
      <c r="G1037" s="21" t="n"/>
      <c r="H1037" s="21" t="n"/>
      <c r="I1037" s="21" t="n"/>
      <c r="J1037" s="21" t="n"/>
      <c r="K1037" s="21" t="n"/>
      <c r="L1037" s="21" t="n"/>
      <c r="M1037" s="21" t="n"/>
      <c r="N1037" s="21" t="n"/>
      <c r="O1037" s="21" t="n"/>
      <c r="P1037" s="21" t="n"/>
      <c r="Q1037" s="21" t="n"/>
      <c r="T1037" s="21" t="n"/>
      <c r="U1037" s="21" t="n"/>
      <c r="V1037" s="21" t="n"/>
      <c r="W1037" s="21" t="n"/>
      <c r="X1037" s="21" t="n"/>
    </row>
    <row r="1038">
      <c r="A1038" s="21" t="n"/>
      <c r="B1038" s="21" t="n"/>
      <c r="C1038" s="21" t="n"/>
      <c r="D1038" s="21" t="n"/>
      <c r="E1038" s="21" t="n"/>
      <c r="F1038" s="21" t="n"/>
      <c r="G1038" s="21" t="n"/>
      <c r="H1038" s="21" t="n"/>
      <c r="I1038" s="21" t="n"/>
      <c r="J1038" s="21" t="n"/>
      <c r="K1038" s="21" t="n"/>
      <c r="L1038" s="21" t="n"/>
      <c r="M1038" s="21" t="n"/>
      <c r="N1038" s="21" t="n"/>
      <c r="O1038" s="21" t="n"/>
      <c r="P1038" s="21" t="n"/>
      <c r="Q1038" s="21" t="n"/>
      <c r="T1038" s="21" t="n"/>
      <c r="U1038" s="21" t="n"/>
      <c r="V1038" s="21" t="n"/>
      <c r="W1038" s="21" t="n"/>
      <c r="X1038" s="21" t="n"/>
    </row>
    <row r="1039">
      <c r="A1039" s="21" t="n"/>
      <c r="B1039" s="21" t="n"/>
      <c r="C1039" s="21" t="n"/>
      <c r="D1039" s="21" t="n"/>
      <c r="E1039" s="21" t="n"/>
      <c r="F1039" s="21" t="n"/>
      <c r="G1039" s="21" t="n"/>
      <c r="H1039" s="21" t="n"/>
      <c r="I1039" s="21" t="n"/>
      <c r="J1039" s="21" t="n"/>
      <c r="K1039" s="21" t="n"/>
      <c r="L1039" s="21" t="n"/>
      <c r="M1039" s="21" t="n"/>
      <c r="N1039" s="21" t="n"/>
      <c r="O1039" s="21" t="n"/>
      <c r="P1039" s="21" t="n"/>
      <c r="Q1039" s="21" t="n"/>
      <c r="T1039" s="21" t="n"/>
      <c r="U1039" s="21" t="n"/>
      <c r="V1039" s="21" t="n"/>
      <c r="W1039" s="21" t="n"/>
      <c r="X1039" s="21" t="n"/>
    </row>
    <row r="1040">
      <c r="A1040" s="21" t="n"/>
      <c r="B1040" s="21" t="n"/>
      <c r="C1040" s="21" t="n"/>
      <c r="D1040" s="21" t="n"/>
      <c r="E1040" s="21" t="n"/>
      <c r="F1040" s="21" t="n"/>
      <c r="G1040" s="21" t="n"/>
      <c r="H1040" s="21" t="n"/>
      <c r="I1040" s="21" t="n"/>
      <c r="J1040" s="21" t="n"/>
      <c r="K1040" s="21" t="n"/>
      <c r="L1040" s="21" t="n"/>
      <c r="M1040" s="21" t="n"/>
      <c r="N1040" s="21" t="n"/>
      <c r="O1040" s="21" t="n"/>
      <c r="P1040" s="21" t="n"/>
      <c r="Q1040" s="21" t="n"/>
      <c r="T1040" s="21" t="n"/>
      <c r="U1040" s="21" t="n"/>
      <c r="V1040" s="21" t="n"/>
      <c r="W1040" s="21" t="n"/>
      <c r="X1040" s="21" t="n"/>
    </row>
    <row r="1041">
      <c r="A1041" s="21" t="n"/>
      <c r="B1041" s="21" t="n"/>
      <c r="C1041" s="21" t="n"/>
      <c r="D1041" s="21" t="n"/>
      <c r="E1041" s="21" t="n"/>
      <c r="F1041" s="21" t="n"/>
      <c r="G1041" s="21" t="n"/>
      <c r="H1041" s="21" t="n"/>
      <c r="I1041" s="21" t="n"/>
      <c r="J1041" s="21" t="n"/>
      <c r="K1041" s="21" t="n"/>
      <c r="L1041" s="21" t="n"/>
      <c r="M1041" s="21" t="n"/>
      <c r="N1041" s="21" t="n"/>
      <c r="O1041" s="21" t="n"/>
      <c r="P1041" s="21" t="n"/>
      <c r="Q1041" s="21" t="n"/>
      <c r="T1041" s="21" t="n"/>
      <c r="U1041" s="21" t="n"/>
      <c r="V1041" s="21" t="n"/>
      <c r="W1041" s="21" t="n"/>
      <c r="X1041" s="21" t="n"/>
    </row>
    <row r="1042">
      <c r="A1042" s="21" t="n"/>
      <c r="B1042" s="21" t="n"/>
      <c r="C1042" s="21" t="n"/>
      <c r="D1042" s="21" t="n"/>
      <c r="E1042" s="21" t="n"/>
      <c r="F1042" s="21" t="n"/>
      <c r="G1042" s="21" t="n"/>
      <c r="H1042" s="21" t="n"/>
      <c r="I1042" s="21" t="n"/>
      <c r="J1042" s="21" t="n"/>
      <c r="K1042" s="21" t="n"/>
      <c r="L1042" s="21" t="n"/>
      <c r="M1042" s="21" t="n"/>
      <c r="N1042" s="21" t="n"/>
      <c r="O1042" s="21" t="n"/>
      <c r="P1042" s="21" t="n"/>
      <c r="Q1042" s="21" t="n"/>
      <c r="T1042" s="21" t="n"/>
      <c r="U1042" s="21" t="n"/>
      <c r="V1042" s="21" t="n"/>
      <c r="W1042" s="21" t="n"/>
      <c r="X1042" s="21" t="n"/>
    </row>
    <row r="1043">
      <c r="A1043" s="21" t="n"/>
      <c r="B1043" s="21" t="n"/>
      <c r="C1043" s="21" t="n"/>
      <c r="D1043" s="21" t="n"/>
      <c r="E1043" s="21" t="n"/>
      <c r="F1043" s="21" t="n"/>
      <c r="G1043" s="21" t="n"/>
      <c r="H1043" s="21" t="n"/>
      <c r="I1043" s="21" t="n"/>
      <c r="J1043" s="21" t="n"/>
      <c r="K1043" s="21" t="n"/>
      <c r="L1043" s="21" t="n"/>
      <c r="M1043" s="21" t="n"/>
      <c r="N1043" s="21" t="n"/>
      <c r="O1043" s="21" t="n"/>
      <c r="P1043" s="21" t="n"/>
      <c r="Q1043" s="21" t="n"/>
      <c r="T1043" s="21" t="n"/>
      <c r="U1043" s="21" t="n"/>
      <c r="V1043" s="21" t="n"/>
      <c r="W1043" s="21" t="n"/>
      <c r="X1043" s="21" t="n"/>
    </row>
    <row r="1044">
      <c r="A1044" s="21" t="n"/>
      <c r="B1044" s="21" t="n"/>
      <c r="C1044" s="21" t="n"/>
      <c r="D1044" s="21" t="n"/>
      <c r="E1044" s="21" t="n"/>
      <c r="F1044" s="21" t="n"/>
      <c r="G1044" s="21" t="n"/>
      <c r="H1044" s="21" t="n"/>
      <c r="I1044" s="21" t="n"/>
      <c r="J1044" s="21" t="n"/>
      <c r="K1044" s="21" t="n"/>
      <c r="L1044" s="21" t="n"/>
      <c r="M1044" s="21" t="n"/>
      <c r="N1044" s="21" t="n"/>
      <c r="O1044" s="21" t="n"/>
      <c r="P1044" s="21" t="n"/>
      <c r="Q1044" s="21" t="n"/>
      <c r="T1044" s="21" t="n"/>
      <c r="U1044" s="21" t="n"/>
      <c r="V1044" s="21" t="n"/>
      <c r="W1044" s="21" t="n"/>
      <c r="X1044" s="21" t="n"/>
    </row>
    <row r="1045">
      <c r="A1045" s="21" t="n"/>
      <c r="B1045" s="21" t="n"/>
      <c r="C1045" s="21" t="n"/>
      <c r="D1045" s="21" t="n"/>
      <c r="E1045" s="21" t="n"/>
      <c r="F1045" s="21" t="n"/>
      <c r="G1045" s="21" t="n"/>
      <c r="H1045" s="21" t="n"/>
      <c r="I1045" s="21" t="n"/>
      <c r="J1045" s="21" t="n"/>
      <c r="K1045" s="21" t="n"/>
      <c r="L1045" s="21" t="n"/>
      <c r="M1045" s="21" t="n"/>
      <c r="N1045" s="21" t="n"/>
      <c r="O1045" s="21" t="n"/>
      <c r="P1045" s="21" t="n"/>
      <c r="Q1045" s="21" t="n"/>
      <c r="T1045" s="21" t="n"/>
      <c r="U1045" s="21" t="n"/>
      <c r="V1045" s="21" t="n"/>
      <c r="W1045" s="21" t="n"/>
      <c r="X1045" s="21" t="n"/>
    </row>
    <row r="1046">
      <c r="A1046" s="21" t="n"/>
      <c r="B1046" s="21" t="n"/>
      <c r="C1046" s="21" t="n"/>
      <c r="D1046" s="21" t="n"/>
      <c r="E1046" s="21" t="n"/>
      <c r="F1046" s="21" t="n"/>
      <c r="G1046" s="21" t="n"/>
      <c r="H1046" s="21" t="n"/>
      <c r="I1046" s="21" t="n"/>
      <c r="J1046" s="21" t="n"/>
      <c r="K1046" s="21" t="n"/>
      <c r="L1046" s="21" t="n"/>
      <c r="M1046" s="21" t="n"/>
      <c r="N1046" s="21" t="n"/>
      <c r="O1046" s="21" t="n"/>
      <c r="P1046" s="21" t="n"/>
      <c r="Q1046" s="21" t="n"/>
      <c r="T1046" s="21" t="n"/>
      <c r="U1046" s="21" t="n"/>
      <c r="V1046" s="21" t="n"/>
      <c r="W1046" s="21" t="n"/>
      <c r="X1046" s="21" t="n"/>
    </row>
    <row r="1047">
      <c r="A1047" s="21" t="n"/>
      <c r="B1047" s="21" t="n"/>
      <c r="C1047" s="21" t="n"/>
      <c r="D1047" s="21" t="n"/>
      <c r="E1047" s="21" t="n"/>
      <c r="F1047" s="21" t="n"/>
      <c r="G1047" s="21" t="n"/>
      <c r="H1047" s="21" t="n"/>
      <c r="I1047" s="21" t="n"/>
      <c r="J1047" s="21" t="n"/>
      <c r="K1047" s="21" t="n"/>
      <c r="L1047" s="21" t="n"/>
      <c r="M1047" s="21" t="n"/>
      <c r="N1047" s="21" t="n"/>
      <c r="O1047" s="21" t="n"/>
      <c r="P1047" s="21" t="n"/>
      <c r="Q1047" s="21" t="n"/>
      <c r="T1047" s="21" t="n"/>
      <c r="U1047" s="21" t="n"/>
      <c r="V1047" s="21" t="n"/>
      <c r="W1047" s="21" t="n"/>
      <c r="X1047" s="21" t="n"/>
    </row>
    <row r="1048">
      <c r="A1048" s="21" t="n"/>
      <c r="B1048" s="21" t="n"/>
      <c r="C1048" s="21" t="n"/>
      <c r="D1048" s="21" t="n"/>
      <c r="E1048" s="21" t="n"/>
      <c r="F1048" s="21" t="n"/>
      <c r="G1048" s="21" t="n"/>
      <c r="H1048" s="21" t="n"/>
      <c r="I1048" s="21" t="n"/>
      <c r="J1048" s="21" t="n"/>
      <c r="K1048" s="21" t="n"/>
      <c r="L1048" s="21" t="n"/>
      <c r="M1048" s="21" t="n"/>
      <c r="N1048" s="21" t="n"/>
      <c r="O1048" s="21" t="n"/>
      <c r="P1048" s="21" t="n"/>
      <c r="Q1048" s="21" t="n"/>
      <c r="T1048" s="21" t="n"/>
      <c r="U1048" s="21" t="n"/>
      <c r="V1048" s="21" t="n"/>
      <c r="W1048" s="21" t="n"/>
      <c r="X1048" s="21" t="n"/>
    </row>
    <row r="1049">
      <c r="A1049" s="21" t="n"/>
      <c r="B1049" s="21" t="n"/>
      <c r="C1049" s="21" t="n"/>
      <c r="D1049" s="21" t="n"/>
      <c r="E1049" s="21" t="n"/>
      <c r="F1049" s="21" t="n"/>
      <c r="G1049" s="21" t="n"/>
      <c r="H1049" s="21" t="n"/>
      <c r="I1049" s="21" t="n"/>
      <c r="J1049" s="21" t="n"/>
      <c r="K1049" s="21" t="n"/>
      <c r="L1049" s="21" t="n"/>
      <c r="M1049" s="21" t="n"/>
      <c r="N1049" s="21" t="n"/>
      <c r="O1049" s="21" t="n"/>
      <c r="P1049" s="21" t="n"/>
      <c r="Q1049" s="21" t="n"/>
      <c r="T1049" s="21" t="n"/>
      <c r="U1049" s="21" t="n"/>
      <c r="V1049" s="21" t="n"/>
      <c r="W1049" s="21" t="n"/>
      <c r="X1049" s="21" t="n"/>
    </row>
  </sheetData>
  <dataValidations count="1">
    <dataValidation sqref="A2:A45 A47:A325" showDropDown="0" showInputMessage="0" showErrorMessage="0" allowBlank="1" type="list">
      <formula1>"resource,logistics,use,business,sale,service,reverse,recovery"</formula1>
    </dataValidation>
  </dataValidations>
  <hyperlinks>
    <hyperlink xmlns:r="http://schemas.openxmlformats.org/officeDocument/2006/relationships" ref="N14" r:id="rId1"/>
    <hyperlink xmlns:r="http://schemas.openxmlformats.org/officeDocument/2006/relationships" ref="N32" r:id="rId2"/>
    <hyperlink xmlns:r="http://schemas.openxmlformats.org/officeDocument/2006/relationships" ref="N35" r:id="rId3"/>
  </hyperlinks>
  <pageMargins left="0.75" right="0.75" top="1" bottom="1" header="0.5" footer="0.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0" summaryRight="0"/>
    <pageSetUpPr/>
  </sheetPr>
  <dimension ref="A1:X1007"/>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10.13" customWidth="1" style="76" min="1" max="1"/>
    <col width="5.63" customWidth="1" style="76" min="2" max="2"/>
    <col width="10.75" customWidth="1" style="76" min="3" max="3"/>
    <col width="22.38" customWidth="1" style="76" min="4" max="4"/>
    <col width="23.75" customWidth="1" style="76" min="5" max="5"/>
    <col width="31.38" customWidth="1" style="76" min="6" max="8"/>
    <col width="33.38" customWidth="1" style="76" min="9" max="9"/>
    <col width="22.75" customWidth="1" style="76" min="10" max="10"/>
    <col width="35.13" customWidth="1" style="76" min="11" max="11"/>
    <col width="24" customWidth="1" style="76" min="12" max="12"/>
    <col width="16.13" customWidth="1" style="76" min="13" max="13"/>
    <col width="23.63" customWidth="1" style="76" min="14" max="14"/>
    <col width="17.5" customWidth="1" style="76" min="15" max="15"/>
    <col width="17.75" customWidth="1" style="76" min="16" max="16"/>
    <col width="51" customWidth="1" style="76" min="17" max="17"/>
    <col width="13.38" customWidth="1" style="76" min="18" max="18"/>
  </cols>
  <sheetData>
    <row r="1">
      <c r="A1" s="28" t="inlineStr">
        <is>
          <t>TYPE</t>
        </is>
      </c>
      <c r="B1" s="28" t="inlineStr">
        <is>
          <t>ID</t>
        </is>
      </c>
      <c r="C1" s="28" t="inlineStr">
        <is>
          <t>X1</t>
        </is>
      </c>
      <c r="D1" s="28" t="inlineStr">
        <is>
          <t>X2</t>
        </is>
      </c>
      <c r="E1" s="28" t="inlineStr">
        <is>
          <t>X3</t>
        </is>
      </c>
      <c r="F1" s="28" t="inlineStr">
        <is>
          <t>AUTHOR_ID</t>
        </is>
      </c>
      <c r="G1" s="28" t="inlineStr">
        <is>
          <t>SCIENTIFIC SATURATION</t>
        </is>
      </c>
      <c r="H1" s="28" t="inlineStr">
        <is>
          <t>HOW</t>
        </is>
      </c>
      <c r="I1" s="28" t="inlineStr">
        <is>
          <t>WHY</t>
        </is>
      </c>
      <c r="J1" s="28" t="inlineStr">
        <is>
          <t>USE</t>
        </is>
      </c>
      <c r="K1" s="28" t="inlineStr">
        <is>
          <t>CHARACTERISTICS</t>
        </is>
      </c>
      <c r="L1" s="28" t="inlineStr">
        <is>
          <t>QUESTIONS TO ANSWER</t>
        </is>
      </c>
      <c r="M1" s="28" t="inlineStr">
        <is>
          <t>CASE_STUDY_ID</t>
        </is>
      </c>
      <c r="N1" s="28" t="inlineStr">
        <is>
          <t>REFERENCES</t>
        </is>
      </c>
      <c r="O1" s="27" t="inlineStr">
        <is>
          <t>PRODUCT-TAGS</t>
        </is>
      </c>
      <c r="P1" s="28" t="inlineStr">
        <is>
          <t>CIRCULARITY_INDEX</t>
        </is>
      </c>
      <c r="Q1" s="28" t="inlineStr">
        <is>
          <t>DFX_RELATIONSHIP</t>
        </is>
      </c>
      <c r="R1" s="28" t="inlineStr">
        <is>
          <t>LOOP</t>
        </is>
      </c>
      <c r="S1" s="28" t="inlineStr">
        <is>
          <t>APPLIES_TO</t>
        </is>
      </c>
      <c r="T1" s="28" t="inlineStr">
        <is>
          <t>HIDDEN_USER</t>
        </is>
      </c>
      <c r="U1" s="28" t="inlineStr">
        <is>
          <t>HIDDEN_LAST_UPDATE</t>
        </is>
      </c>
      <c r="V1" s="28" t="n"/>
      <c r="W1" s="28" t="n"/>
      <c r="X1" s="28" t="n"/>
    </row>
    <row r="2" hidden="1" ht="75" customHeight="1" s="76">
      <c r="A2" s="73" t="inlineStr">
        <is>
          <t>business</t>
        </is>
      </c>
      <c r="B2" s="73" t="n">
        <v>2</v>
      </c>
      <c r="C2" s="73" t="inlineStr">
        <is>
          <t>Df Reuse</t>
        </is>
      </c>
      <c r="D2" s="34" t="inlineStr">
        <is>
          <t>Df Circular Business Model</t>
        </is>
      </c>
      <c r="E2" s="73" t="inlineStr">
        <is>
          <t>Df Circular Business Model</t>
        </is>
      </c>
      <c r="F2" s="73" t="n">
        <v>1</v>
      </c>
      <c r="G2" s="73" t="n"/>
      <c r="H2" s="73" t="inlineStr">
        <is>
          <t>Develop service-based business models where products remain provider assets. Implement systems for product recovery, refurbishment, and redistribution. Create contractual frameworks extending product lifecycles while clearly allocating maintenance and end-of-life responsibility.</t>
        </is>
      </c>
      <c r="I2" s="73" t="inlineStr">
        <is>
          <t>In the long-term strategy, the user wants to use a high quality product that does not require a capital up front payment. The benefit of this configuration for the user always is a flexible system with zero risk, status symbol without high investments and upgradability of the product free of charge or below the market price. The benifits of the provider, after an initial investment, concern with the maintaining of the value, providing new and different services with the product and the possibility to build stronger brand, product and customer loyalty.
Product leasing may result in highly weared out products after use. Designers should take into consideration such downside of the service products by designing high nquality product that are able to be reused multiple times. The main aim is to work on robust structure of the product and facilitate the replacement of spare parts to keeping the product in the market for as much loops as possible.</t>
        </is>
      </c>
      <c r="J2" s="73" t="inlineStr">
        <is>
          <t>The potential products that can be considered in this category are long-lasting products. In order to evaluate the viability of the long-term leasing the designer should evaluate the present market, understand the target and why the consumers would prefer a long-term leasing rather than own a product. The challange here is to maintain the quality of the product toward multiple consumers.</t>
        </is>
      </c>
      <c r="K2" s="73" t="inlineStr">
        <is>
          <t>In the Long-term leasing the provider maintain the ownership of the product. The main objectives of provider sees not only the provision of  the product on the market, but also the possibility to provid pther comprehensive optional services (such as insurance, reparing, replacement of degradable parts).</t>
        </is>
      </c>
      <c r="L2" s="73" t="inlineStr">
        <is>
          <t>• What circular business model better meet users' needs? Are my key customers willing to receive a service instead that a product?
• How the product can be better designed to meet the circular business model? 
• How the service can be better designed to incentive users to use my service?
• Would users be willing to rent our product with a long-term contract? 
• Which additional service could be combined with the product or service to generate more revenue?
• What should I change about the design of my product to make it last for many life cycles?</t>
        </is>
      </c>
      <c r="M2" s="73" t="n">
        <v>156</v>
      </c>
      <c r="N2" s="73" t="inlineStr">
        <is>
          <t>Tukker, A. (2004). Eight types of product–service system: Eight ways to sustainability? Experiences from SusProNet. Business Strategy and the Environment, 13(4), 246–260. https://doi.org/10.1002/bse.414
Vezzoli, C. A., &amp; Manzini, E. (2008). Design for Environmental Sustainability (2008 edition). Berlin ; London: Springer.
Stahel, W. (2010). The Performance Economy. Palgrave Macmillan UK.
Ceschin, F. (2014). Sustainable Product-Service Systems: Between Strategic Design and Transition Studies.
Guldmann, E. (2014). Best practice examples of circular business models. World, 20.</t>
        </is>
      </c>
      <c r="O2" s="73" t="n"/>
      <c r="P2" s="73" t="n">
        <v>1</v>
      </c>
      <c r="Q2" s="73" t="inlineStr">
        <is>
          <t>Df Product Leasing,Df Product Sharing,Df Collaborative Consumption,Df Behavioural Change,Df Collaborative Logistics,Df Closed-loop Reverse Supply Chain,Df Cleaning, Df Open Logistics,Df Crowd Logistics, Df Business Logistics</t>
        </is>
      </c>
      <c r="R2" s="73" t="inlineStr">
        <is>
          <t>LOOP 1,LOOP N,LAST LOOP</t>
        </is>
      </c>
      <c r="S2" s="73" t="inlineStr">
        <is>
          <t>Components,Products,Processes,Systems</t>
        </is>
      </c>
      <c r="T2" s="73" t="n"/>
      <c r="U2" s="73" t="n"/>
      <c r="V2" s="73" t="n"/>
      <c r="W2" s="73" t="n"/>
      <c r="X2" s="73" t="n"/>
    </row>
    <row r="3" hidden="1" ht="75" customHeight="1" s="76">
      <c r="A3" s="46" t="inlineStr">
        <is>
          <t>business</t>
        </is>
      </c>
      <c r="B3" s="46" t="n">
        <v>3</v>
      </c>
      <c r="C3" s="46" t="inlineStr">
        <is>
          <t>Df Reuse</t>
        </is>
      </c>
      <c r="D3" s="34" t="inlineStr">
        <is>
          <t>Df Circular Business Model</t>
        </is>
      </c>
      <c r="E3" s="46" t="inlineStr">
        <is>
          <t>Df Product Sharing</t>
        </is>
      </c>
      <c r="F3" s="46" t="n">
        <v>1</v>
      </c>
      <c r="G3" s="46" t="n"/>
      <c r="H3" s="46" t="inlineStr">
        <is>
          <t>Design products for robust durability and frequent cleaning cycles. Develop access platforms (digital or physical) connecting owners with users. Implement scheduling, tracking, and quality management systems ensuring product condition across transfers.</t>
        </is>
      </c>
      <c r="I3" s="46" t="inlineStr">
        <is>
          <t xml:space="preserve">In this strategy, the property of the product is retained by the provider and the user is allowed to use the product for a short time. The customer is charged for each use of the product. In this strategy, multiple users can use the product one after another. For this reason, products in this category can become quickly wear if not robust. </t>
        </is>
      </c>
      <c r="J3" s="46" t="inlineStr">
        <is>
          <t>Ideal for seasonally-used products with low per-unit utilization: bicycles, tools, camping equipment. Works in urban environments with smartphone infrastructure supporting payment and access.</t>
        </is>
      </c>
      <c r="K3" s="46" t="inlineStr">
        <is>
          <t>Requires accessible, user-friendly access platforms. Products must tolerate varied user behaviors and cleaning cycles. Simple payment models reduce friction. Design enables rapid reassignment between users.</t>
        </is>
      </c>
      <c r="L3" s="46" t="inlineStr">
        <is>
          <t>In which way we can create profit as a business by selling products to be shared? 
Would the user be willing to use the product or service for a limited time? Which additional service could be combined with the product or service to generate more revenue?</t>
        </is>
      </c>
      <c r="M3" s="46" t="n">
        <v>122</v>
      </c>
      <c r="N3" s="46" t="inlineStr">
        <is>
          <t xml:space="preserve">Tukker, A. (2004). Eight types of product–service system: Eight ways to sustainability? Experiences from SusProNet. Business Strategy and the Environment, 13(4), 246–260.
Ceschin, F. (2014). Sustainable Product-Service Systems: Between Strategic Design and Transition Studies. </t>
        </is>
      </c>
      <c r="O3" s="46" t="n"/>
      <c r="P3" s="46" t="n">
        <v>1</v>
      </c>
      <c r="Q3" s="46" t="n"/>
      <c r="R3" s="46" t="inlineStr">
        <is>
          <t>LOOP 1,LOOP N,LAST LOOP</t>
        </is>
      </c>
      <c r="S3" s="46" t="inlineStr">
        <is>
          <t>Components,Products,Processes,Systems</t>
        </is>
      </c>
      <c r="T3" s="46" t="n"/>
      <c r="U3" s="46" t="n"/>
      <c r="V3" s="46" t="n"/>
      <c r="W3" s="46" t="n"/>
      <c r="X3" s="46" t="n"/>
    </row>
    <row r="4" hidden="1" ht="75" customHeight="1" s="76">
      <c r="A4" s="73" t="inlineStr">
        <is>
          <t>business</t>
        </is>
      </c>
      <c r="B4" s="73" t="n">
        <v>4</v>
      </c>
      <c r="C4" s="73" t="inlineStr">
        <is>
          <t>Df Reuse</t>
        </is>
      </c>
      <c r="D4" s="34" t="inlineStr">
        <is>
          <t>Df Circular Business Model</t>
        </is>
      </c>
      <c r="E4" s="73" t="inlineStr">
        <is>
          <t>Df Collaborative Consumption</t>
        </is>
      </c>
      <c r="F4" s="73" t="n">
        <v>1</v>
      </c>
      <c r="G4" s="73" t="n"/>
      <c r="H4" s="73" t="inlineStr">
        <is>
          <t>Design products accommodating diverse user profiles within communities. Establish governance structures and platforms for transparent user interaction. Implement quality assurance and conflict resolution mechanisms. Build social features rewarding participation and trust.</t>
        </is>
      </c>
      <c r="I4" s="73" t="inlineStr">
        <is>
          <t>Collaborative consumption models fundamentally challenge the assumption that ownership is the primary means of accessing products. By enabling multiple users to share the same product across its lifecycle, this approach maximizes utilization rates and extends product lifespans, directly reducing per-use environmental impacts. From a design perspective, this strategy requires products to be designed for durability, cleanability, and ergonomic adaptability to diverse user needs. Products must withstand higher usage frequencies and be easily maintained between users, demanding thoughtful material selection and robust construction methods that accommodate shared stewardship.</t>
        </is>
      </c>
      <c r="J4" s="73" t="inlineStr">
        <is>
          <t>Community car pools, tool libraries, clothing swaps, food sharing groups. Effective where geographic proximity and shared values support community formation. Works well for occasional-use items within trust networks.</t>
        </is>
      </c>
      <c r="K4" s="73" t="inlineStr">
        <is>
          <t>Emphasizes community trust and social interaction over transaction efficiency. Requires strong governance and transparent operations. Products accommodate diverse needs. Social mechanisms often matter more than technology.</t>
        </is>
      </c>
      <c r="L4" s="73" t="inlineStr">
        <is>
          <t>In which way it is possible to create profit by selling products to be shared between people? 
Would users be willing to use the product or service with others? Which additional service could be combined with the product or service to generate more revenue?</t>
        </is>
      </c>
      <c r="M4" s="73" t="n">
        <v>4</v>
      </c>
      <c r="N4" s="73" t="inlineStr">
        <is>
          <t>Tukker, A. (2004). Eight types of product–service system: Eight ways to sustainability? Experiences from SusProNet. Business Strategy and the Environment, 13(4), 246–260.
Ceschin, F. (2014). Sustainable Product-Service Systems: Between Strategic Design and Transition Studies.</t>
        </is>
      </c>
      <c r="O4" s="73" t="n"/>
      <c r="P4" s="73" t="n">
        <v>1</v>
      </c>
      <c r="Q4" s="73" t="n"/>
      <c r="R4" s="73" t="inlineStr">
        <is>
          <t>LOOP 1,LOOP N,LAST LOOP</t>
        </is>
      </c>
      <c r="S4" s="73" t="inlineStr">
        <is>
          <t>Components,Products,Processes,Systems</t>
        </is>
      </c>
      <c r="T4" s="73" t="n"/>
      <c r="U4" s="73" t="n"/>
      <c r="V4" s="73" t="n"/>
      <c r="W4" s="73" t="n"/>
      <c r="X4" s="73" t="n"/>
    </row>
    <row r="5" hidden="1" ht="75" customHeight="1" s="76">
      <c r="A5" s="46" t="inlineStr">
        <is>
          <t>business</t>
        </is>
      </c>
      <c r="B5" s="46" t="n">
        <v>5</v>
      </c>
      <c r="C5" s="46" t="inlineStr">
        <is>
          <t>Df Reuse</t>
        </is>
      </c>
      <c r="D5" s="35" t="inlineStr">
        <is>
          <t>Df Sustainable Business Model</t>
        </is>
      </c>
      <c r="E5" s="36" t="inlineStr">
        <is>
          <t>Df Long Lasting Product</t>
        </is>
      </c>
      <c r="F5" s="46" t="n">
        <v>1</v>
      </c>
      <c r="G5" s="46" t="n"/>
      <c r="H5" s="46" t="inlineStr">
        <is>
          <t>Design for longevity, ease of maintenance, and material recovery. Implement leasing contracts specifying maintenance obligations and end-of-life responsibilities. Establish logistics for pickup, refurbishment, and redistribution. Build monitoring systems enabling predictive maintenance.</t>
        </is>
      </c>
      <c r="I5" s="46" t="inlineStr">
        <is>
          <t xml:space="preserve">In this strategy, companies work at improving high-quality products capable of lasting a lifetime. In every industrial sector, it is possible to find long-lasting products, confirming the fact that this strategy is economically profitable. The high added value of products will strengthen customer loyalty and the positive image of the brand. This strategy can be mixed with the design for leasing or sharing of the product in order to maintain the investment for longer profit gains.  However, the designer should take into account that some technologies get obsolete quickly even if the product is still working perfectly. In this case, perhaps, an upgrade program can incentivize users to spend more money on premium products. </t>
        </is>
      </c>
      <c r="J5" s="46" t="inlineStr">
        <is>
          <t>High-value capital equipment, furniture, appliances, vehicle fleets. Effective where providers have distribution and maintenance networks. Strong for B2B where providers gain cost advantages from durability.</t>
        </is>
      </c>
      <c r="K5" s="46" t="inlineStr">
        <is>
          <t>Provider retains ownership and residual value. Products designed for disassembly and material recovery. Service and maintenance integrated. Monitoring systems optimize performance.</t>
        </is>
      </c>
      <c r="L5" s="46" t="inlineStr">
        <is>
          <t>In which way it is possible to create profit by selling long lasting products? 
Would users be willing to use the product or service that last that long? Which additional service could be combined with the product or service to generate more revenue?</t>
        </is>
      </c>
      <c r="M5" s="46" t="n">
        <v>5</v>
      </c>
      <c r="N5" s="46" t="inlineStr">
        <is>
          <t>Cooper, T. (A c. Di). (2010). Longer Lasting Products: Alternatives To The Throwaway Society (1 edition). Farnham, Surrey England : Burlington, VT: Routledge.
Bocken, N. M. P., Pauw, I. de, Bakker, C., &amp; Grinten, B. van der. (2016). Product design and business model strategies for a circular economy. Journal of Industrial and Production Engineering, 33(5), 308–320.
Montalvo, C., Peck, D., &amp; Rietveld, E. (2016). A Longer Lifetime for Products: Benefits for Consumers and Companies.</t>
        </is>
      </c>
      <c r="O5" s="46" t="n"/>
      <c r="P5" s="46" t="n">
        <v>1</v>
      </c>
      <c r="Q5" s="46" t="n"/>
      <c r="R5" s="46" t="inlineStr">
        <is>
          <t>LOOP 1,LOOP N,LAST LOOP</t>
        </is>
      </c>
      <c r="S5" s="46" t="inlineStr">
        <is>
          <t>Components,Products,Processes,Systems</t>
        </is>
      </c>
      <c r="T5" s="46" t="n"/>
      <c r="U5" s="46" t="n"/>
      <c r="V5" s="46" t="n"/>
      <c r="W5" s="46" t="n"/>
      <c r="X5" s="46" t="n"/>
    </row>
    <row r="6" hidden="1" ht="75" customHeight="1" s="76">
      <c r="A6" s="73" t="inlineStr">
        <is>
          <t>business</t>
        </is>
      </c>
      <c r="B6" s="73" t="n">
        <v>6</v>
      </c>
      <c r="C6" s="73" t="inlineStr">
        <is>
          <t>Df Reuse</t>
        </is>
      </c>
      <c r="D6" s="35" t="inlineStr">
        <is>
          <t>Df Sustainable Business Model</t>
        </is>
      </c>
      <c r="E6" s="36" t="inlineStr">
        <is>
          <t>Df Product-related services</t>
        </is>
      </c>
      <c r="F6" s="73" t="n">
        <v>1</v>
      </c>
      <c r="G6" s="73" t="n"/>
      <c r="H6" s="73" t="inlineStr">
        <is>
          <t>Design for frequent usage cycles and rapid turnaround between users. Implement robust condition assessment and quick repair protocols. Create intuitive rental platforms with flexible duration options. Use durable materials indicating wear for rapid assessment.</t>
        </is>
      </c>
      <c r="I6" s="73" t="inlineStr">
        <is>
          <t xml:space="preserve">In this strategy, the property of the product is sold from the provider to the user. The provider also offers services to the customers such as a financing scheme, a maintenance contract, an upgrading contract, a take-back agreement etc. This strategy can be mixed with other business strategies such as long-lasting product to increase the loyalty of customers. </t>
        </is>
      </c>
      <c r="J6" s="73" t="inlineStr">
        <is>
          <t>Vehicles, accommodation, party equipment, sports gear, tools. Highly effective for seasonal products in areas with stable renter populations. Works well in urban areas with sufficient density for rental ecosystems.</t>
        </is>
      </c>
      <c r="K6" s="73" t="inlineStr">
        <is>
          <t>Short-term access without ownership transfer. Products must withstand frequent handoffs and diverse user care. Rental terms are flexible and transparent. Quality and liability clearly allocated.</t>
        </is>
      </c>
      <c r="L6" s="73" t="inlineStr">
        <is>
          <t>Which additional service could be combined with the product or service to generate more revenue?</t>
        </is>
      </c>
      <c r="M6" s="73" t="n">
        <v>6</v>
      </c>
      <c r="N6" s="73" t="inlineStr">
        <is>
          <t xml:space="preserve">Tukker, A. (2004). Eight types of product–service system: Eight ways to sustainability? Experiences from SusProNet. Business Strategy and the Environment, 13(4), 246–260.
Ceschin, F. (2014). Sustainable Product-Service Systems: Between Strategic Design and Transition Studies. </t>
        </is>
      </c>
      <c r="O6" s="73" t="n"/>
      <c r="P6" s="73" t="n">
        <v>1</v>
      </c>
      <c r="Q6" s="73" t="n"/>
      <c r="R6" s="73" t="inlineStr">
        <is>
          <t>LOOP 1,LOOP N,LAST LOOP</t>
        </is>
      </c>
      <c r="S6" s="73" t="inlineStr">
        <is>
          <t>Products,Processes,Systems</t>
        </is>
      </c>
      <c r="T6" s="73" t="n"/>
      <c r="U6" s="73" t="n"/>
      <c r="V6" s="73" t="n"/>
      <c r="W6" s="73" t="n"/>
      <c r="X6" s="73" t="n"/>
    </row>
    <row r="7" hidden="1" ht="75" customHeight="1" s="76">
      <c r="A7" s="46" t="inlineStr">
        <is>
          <t>business</t>
        </is>
      </c>
      <c r="B7" s="46" t="n">
        <v>7</v>
      </c>
      <c r="C7" s="46" t="inlineStr">
        <is>
          <t>Df Reuse</t>
        </is>
      </c>
      <c r="D7" s="35" t="inlineStr">
        <is>
          <t>Df Sustainable Business Model</t>
        </is>
      </c>
      <c r="E7" s="36" t="inlineStr">
        <is>
          <t>Df Product-related advice</t>
        </is>
      </c>
      <c r="F7" s="46" t="n">
        <v>1</v>
      </c>
      <c r="G7" s="46" t="n"/>
      <c r="H7" s="46" t="inlineStr">
        <is>
          <t>Design for continuous optimization and material recovery. Implement monitoring systems tracking performance and predicting maintenance. Build modular design enabling upgrades without full replacement. Establish reverse logistics for recovery and remanufacturing.</t>
        </is>
      </c>
      <c r="I7" s="46" t="inlineStr">
        <is>
          <t>Providing expert guidance and advice throughout a product's lifecycle shifts the relationship between manufacturer and user from transactional to relational. When consumers understand how to properly use, maintain, and eventually return products, they develop higher engagement and are more likely to participate in circular systems. This strategy recognizes that product longevity and effective reuse depend not only on design quality but on user knowledge and behavior. By offering accessible advice through multiple channels—digital platforms, documentation, training—companies can significantly extend product lifespans and improve return rates.</t>
        </is>
      </c>
      <c r="J7" s="46" t="inlineStr">
        <is>
          <t>Industrial equipment, lighting systems, facility management, chemical supply. Effective where providers have technical expertise and logistics infrastructure. Strong where optimization delivers measurable user value.</t>
        </is>
      </c>
      <c r="K7" s="46" t="inlineStr">
        <is>
          <t>Provider retains ownership and performance responsibility. Focus on functionality outcomes rather than product ownership. Continuous monitoring enables optimization. Material recovery embedded in service completion.</t>
        </is>
      </c>
      <c r="L7" s="46" t="inlineStr">
        <is>
          <t>• What are the most critical maintenance tasks users need guidance on for product longevity?
• How should advice be delivered (digital, in-person, documentation) to ensure adoption?
• What barriers prevent users from seeking and implementing expert guidance?
• How can we build trust and credibility in our product care recommendations?
• What metrics indicate whether advice-giving improves product lifespan and reuse rates?
• How do we update advice as products age or manufacturing processes change?</t>
        </is>
      </c>
      <c r="M7" s="46" t="n">
        <v>75</v>
      </c>
      <c r="N7" s="46" t="inlineStr">
        <is>
          <t xml:space="preserve">Tukker, A. (2004). Eight types of product–service system: Eight ways to sustainability? Experiences from SusProNet. Business Strategy and the Environment, 13(4), 246–260.
Ceschin, F. (2014). Sustainable Product-Service Systems: Between Strategic Design and Transition Studies. </t>
        </is>
      </c>
      <c r="O7" s="46" t="n"/>
      <c r="P7" s="46" t="n">
        <v>1</v>
      </c>
      <c r="Q7" s="46" t="n"/>
      <c r="R7" s="46" t="inlineStr">
        <is>
          <t>LOOP 1,LOOP N,LAST LOOP</t>
        </is>
      </c>
      <c r="S7" s="46" t="inlineStr">
        <is>
          <t>Products,Processes,Systems</t>
        </is>
      </c>
      <c r="T7" s="46" t="n"/>
      <c r="U7" s="46" t="n"/>
      <c r="V7" s="46" t="n"/>
      <c r="W7" s="46" t="n"/>
      <c r="X7" s="46" t="n"/>
    </row>
    <row r="8" hidden="1" ht="75" customHeight="1" s="76">
      <c r="A8" s="73" t="inlineStr">
        <is>
          <t>business</t>
        </is>
      </c>
      <c r="B8" s="73" t="n">
        <v>8</v>
      </c>
      <c r="C8" s="73" t="inlineStr">
        <is>
          <t>Df Reuse</t>
        </is>
      </c>
      <c r="D8" s="34" t="inlineStr">
        <is>
          <t>Df Local Network</t>
        </is>
      </c>
      <c r="E8" s="55" t="inlineStr">
        <is>
          <t>Df Local Material Extraction</t>
        </is>
      </c>
      <c r="F8" s="73" t="n">
        <v>1</v>
      </c>
      <c r="G8" s="73" t="n"/>
      <c r="H8" s="73" t="inlineStr">
        <is>
          <t>Design for repairability with standardized, accessible components. Establish service networks with trained professionals. Build supply chains for spare parts availability. Implement quality standards for repair work and parts sourcing.</t>
        </is>
      </c>
      <c r="I8" s="73" t="inlineStr">
        <is>
          <t>Local material extraction reduces transportation impacts and strengthens regional economic resilience while creating opportunities for circular material flows at the community level. By designing products to utilize locally-sourced materials, companies can reduce embodied carbon associated with supply chain logistics while supporting local suppliers and traditional craft knowledge. This approach requires designers to deeply understand regional material availability, properties, and cultural significance. From a circular perspective, locally-extracted materials often have established reverse logistics networks and cultural understanding around reuse, making end-of-life management more straightforward.</t>
        </is>
      </c>
      <c r="J8" s="73" t="inlineStr">
        <is>
          <t>Appliances, electronics, furniture, vehicles, clothing. Effective where technical repair skills exist locally. Works well for products with high user value and attachment.</t>
        </is>
      </c>
      <c r="K8" s="73" t="inlineStr">
        <is>
          <t>Modular design enables component replacement without full replacement. Repair documentation and spare parts availability critical. Service quality standards ensure consumer confidence. Local networks reduce transport impacts.</t>
        </is>
      </c>
      <c r="L8" s="73" t="inlineStr">
        <is>
          <t>• What materials are locally available within viable sourcing distances?
• How do local material properties differ from conventional alternatives?
• What existing local supply chains and suppliers can support this strategy?
• How can we certify sustainability and traceability of local material sources?
• What design modifications are needed to work with local material variations?
• How do cultural and traditional uses of local materials inform product design?</t>
        </is>
      </c>
      <c r="M8" s="73" t="n">
        <v>9</v>
      </c>
      <c r="N8" s="73" t="inlineStr">
        <is>
          <t>Manzini, E., &amp; Vezzoli, C. (2008). Design for environmental sustainability (2nd ed.). Springer-Verlag.
Braungart, M., McDonough, W., &amp; Bollinger, A. (2007). Cradle-to-cradle design: Creating healthy emissions. Nature Materials, 6(9), 671-672.
Vezzoli, C., Kohtala, C., &amp; Srinivasan, A. (2014). Product-service system design for sustainability. Greenleaf Publishing.</t>
        </is>
      </c>
      <c r="O8" s="73" t="n"/>
      <c r="P8" s="73" t="n">
        <v>1</v>
      </c>
      <c r="Q8" s="73" t="n"/>
      <c r="R8" s="73" t="inlineStr">
        <is>
          <t>LOOP 1,LOOP N,LAST LOOP</t>
        </is>
      </c>
      <c r="S8" s="73" t="inlineStr">
        <is>
          <t>Materials,Processes,Systems</t>
        </is>
      </c>
      <c r="T8" s="73" t="n"/>
      <c r="U8" s="73" t="n"/>
      <c r="V8" s="73" t="n"/>
      <c r="W8" s="73" t="n"/>
      <c r="X8" s="73" t="n"/>
    </row>
    <row r="9" hidden="1" ht="75" customHeight="1" s="76">
      <c r="A9" s="46" t="inlineStr">
        <is>
          <t>business</t>
        </is>
      </c>
      <c r="B9" s="46" t="n">
        <v>9</v>
      </c>
      <c r="C9" s="46" t="inlineStr">
        <is>
          <t>Df Reuse</t>
        </is>
      </c>
      <c r="D9" s="34" t="inlineStr">
        <is>
          <t>Df Local Network</t>
        </is>
      </c>
      <c r="E9" s="55" t="inlineStr">
        <is>
          <t>Df Distributed Supply Chain</t>
        </is>
      </c>
      <c r="F9" s="46" t="n">
        <v>1</v>
      </c>
      <c r="G9" s="46" t="n"/>
      <c r="H9" s="46" t="inlineStr">
        <is>
          <t>Design for disassembly and component reuse. Establish systematic refurbishment processes assessing, replacing worn components, and restoring functionality. Create quality assurance matching original specifications. Develop supply chains for used product collection.</t>
        </is>
      </c>
      <c r="I9" s="46" t="inlineStr">
        <is>
          <t>Distributed supply chains reduce transportation distances, environmental impacts, and supply chain vulnerabilities while enabling more responsive, localized production systems. By moving manufacturing closer to markets, companies can reduce logistics emissions, improve delivery times, and create opportunities for modular, on-demand production that better matches consumer needs. This approach supports the reuse and circular economy by enabling local repair, refurbishment, and remanufacturing networks. Distributed networks also facilitate knowledge sharing and innovation across geographies while maintaining quality control and brand consistency.</t>
        </is>
      </c>
      <c r="J9" s="46" t="inlineStr">
        <is>
          <t>Electronics, furniture, vehicles, machinery, appliances. Effective where refurbished products achieve price premiums covering labor and logistics. Works well with reliable remanufacturable components.</t>
        </is>
      </c>
      <c r="K9" s="46" t="inlineStr">
        <is>
          <t>Restored products return to original or near-original condition. Refurbishment quality built through transparent standards. Component reuse embedded in process. Economics depend on sufficient used product supply.</t>
        </is>
      </c>
      <c r="L9" s="46" t="inlineStr">
        <is>
          <t>• Which product components or variants are most suitable for distributed manufacturing?
• What quality assurance systems ensure consistency across multiple production nodes?
• How should design be modularized to enable distributed assembly and customization?
• What technology infrastructure is needed to coordinate distributed networks?
• How can we optimize the balance between central hubs and local nodes?
• What skills and training do local production partners require?</t>
        </is>
      </c>
      <c r="M9" s="46" t="n">
        <v>104</v>
      </c>
      <c r="N9" s="46" t="inlineStr">
        <is>
          <t>Ellen MacArthur Foundation. (2015). Growth within: A circular economy vision for a competitive Europe. Retrieved from https://ellenmacarthurfoundation.org/
Kohtala, C. (2015). Addressing sustainability in distributed manufacturing. Journal of Cleaner Production, 135, 17-27.
Geissdoerfer, M., Savaget, P., Bocken, N. M., &amp; Hultink, E. J. (2017). The circular economy–a new sustainability paradigm? Journal of Cleaner Production, 143, 757-768. https://doi.org/10.1016/j.jclepro.2016.12.048</t>
        </is>
      </c>
      <c r="O9" s="46" t="inlineStr">
        <is>
          <t>cars,packaging,service</t>
        </is>
      </c>
      <c r="P9" s="46" t="n">
        <v>1</v>
      </c>
      <c r="Q9" s="46" t="n"/>
      <c r="R9" s="46" t="inlineStr">
        <is>
          <t>LOOP 1,LOOP N,LAST LOOP</t>
        </is>
      </c>
      <c r="S9" s="46" t="inlineStr">
        <is>
          <t>Materials,Components,Products,Processes,Systems</t>
        </is>
      </c>
      <c r="T9" s="46" t="n"/>
      <c r="U9" s="46" t="n"/>
      <c r="V9" s="46" t="n"/>
      <c r="W9" s="46" t="n"/>
      <c r="X9" s="46" t="n"/>
    </row>
    <row r="10" hidden="1" ht="75" customHeight="1" s="76">
      <c r="A10" s="73" t="inlineStr">
        <is>
          <t>business</t>
        </is>
      </c>
      <c r="B10" s="73" t="n">
        <v>10</v>
      </c>
      <c r="C10" s="73" t="inlineStr">
        <is>
          <t>Df Reuse</t>
        </is>
      </c>
      <c r="D10" s="34" t="inlineStr">
        <is>
          <t>Df Local Network</t>
        </is>
      </c>
      <c r="E10" s="55" t="inlineStr">
        <is>
          <t>Df Opening Processes and Organizations</t>
        </is>
      </c>
      <c r="F10" s="73" t="n">
        <v>1</v>
      </c>
      <c r="G10" s="73" t="n"/>
      <c r="H10" s="73" t="inlineStr">
        <is>
          <t>Design with modular architectures enabling core component retention. Establish collection systems for end-of-life products. Develop remanufacturing processes with quality assurance matching original manufacturing. Implement component history tracking.</t>
        </is>
      </c>
      <c r="I10" s="73" t="inlineStr">
        <is>
          <t>Open business models democratize manufacturing and create opportunities for distributed innovation, repair, and adaptation by making processes, designs, and organizational structures transparent and accessible. When companies open-source designs, processes, or manufacturing knowledge, they enable third-party innovation, repair services, and remanufacturing ecosystems that extend product lifecycles significantly. This radical transparency builds community engagement and trust while reducing barriers to participation in circular systems. From a design perspective, products intended for open ecosystems must be exceptionally well-documented and designed for modularity to enable diverse stakeholders to contribute meaningfully.</t>
        </is>
      </c>
      <c r="J10" s="73" t="inlineStr">
        <is>
          <t>Engines, industrial machinery, office equipment, vehicle components. Effective in B2B contexts where supply security and cost savings support adoption. Works with relatively stable designs and high component standardization.</t>
        </is>
      </c>
      <c r="K10" s="73" t="inlineStr">
        <is>
          <t>Core components retain value and functionality. Engineering knowledge embedded in remanufacturing. Supply of used products critical to economics. Quality standards match original manufacturing.</t>
        </is>
      </c>
      <c r="L10" s="73" t="inlineStr">
        <is>
          <t>• What aspects of design and manufacturing should be openly shared versus protected?
• How can we ensure quality and safety standards in open manufacturing ecosystems?
• What documentation level is needed for users/makers to understand and modify designs?
• How should we manage intellectual property and attribution in open systems?
• What support infrastructure (forums, standards, tools) enables successful open communities?
• How do we balance openness with brand control and commercial viability?</t>
        </is>
      </c>
      <c r="M10" s="73" t="n">
        <v>78</v>
      </c>
      <c r="N10" s="73" t="inlineStr">
        <is>
          <t>Benkler, Y. (2006). The wealth of networks: How social production transforms markets and freedom. Yale University Press.
den Hollander, M. C., Bakker, C. A., &amp; Hultink, E. J. (2017). Product design in a circular economy: Development of a typology of key concepts and terms. Journal of Industrial Ecology, 21(3), 517-525. https://doi.org/10.1111/jiec.12610
Vezzoli, C., Kohtala, C., &amp; Srinivasan, A. (2014). Product-service system design for sustainability. Greenleaf Publishing.</t>
        </is>
      </c>
      <c r="O10" s="73" t="n"/>
      <c r="P10" s="73" t="n">
        <v>1</v>
      </c>
      <c r="Q10" s="73" t="n"/>
      <c r="R10" s="73" t="inlineStr">
        <is>
          <t>LOOP 1,LOOP N,LAST LOOP</t>
        </is>
      </c>
      <c r="S10" s="73" t="inlineStr">
        <is>
          <t>Materials,Components,Products,Processes,Systems</t>
        </is>
      </c>
      <c r="T10" s="73" t="n"/>
      <c r="U10" s="73" t="n"/>
      <c r="V10" s="73" t="n"/>
      <c r="W10" s="73" t="n"/>
      <c r="X10" s="73" t="n"/>
    </row>
    <row r="11" hidden="1" ht="75" customHeight="1" s="76">
      <c r="A11" s="46" t="inlineStr">
        <is>
          <t>business</t>
        </is>
      </c>
      <c r="B11" s="46" t="n">
        <v>11</v>
      </c>
      <c r="C11" s="46" t="inlineStr">
        <is>
          <t>Df Reuse</t>
        </is>
      </c>
      <c r="D11" s="34" t="inlineStr">
        <is>
          <t>Df Local Network</t>
        </is>
      </c>
      <c r="E11" s="34" t="inlineStr">
        <is>
          <t>Df Local Network</t>
        </is>
      </c>
      <c r="F11" s="46" t="n">
        <v>1</v>
      </c>
      <c r="G11" s="46" t="n"/>
      <c r="H11" s="46" t="inlineStr">
        <is>
          <t>Design for disassembly using compatible materials and reversible fastening. Minimize material diversity and hazardous substances. Mark materials for sorting. Consider mechanical and chemical recycling pathways.</t>
        </is>
      </c>
      <c r="I11" s="46" t="inlineStr">
        <is>
          <t>Local networks create economic and social infrastructure that enables circular flows of materials, knowledge, and value within communities. By designing products and systems that work within existing local networks—retailers, repair shops, waste management facilities—companies can dramatically improve collection rates and reuse outcomes. Local networks also build social capital and community resilience while reducing transportation impacts. This strategy recognizes that circular systems succeed when embedded in communities with established relationships, trust, and shared values around sustainability.</t>
        </is>
      </c>
      <c r="J11" s="46" t="inlineStr">
        <is>
          <t>Metals, glass, plastics, paper, textiles where recycling infrastructure exists. Critical for products difficult to repair or remanufacture. Works well where commodity prices support economics.</t>
        </is>
      </c>
      <c r="K11" s="46" t="inlineStr">
        <is>
          <t>Product disassembled to component materials. Material value recovered through existing infrastructure. Design minimizes contamination and sorting difficulty. Material traceability supports quality.</t>
        </is>
      </c>
      <c r="L11" s="46" t="inlineStr">
        <is>
          <t>• What existing local networks (retailers, repair shops, collection points) can support reuse?
• How should products be packaged or designed for convenient local returns?
• What incentives or programs encourage participation in local networks?
• How can we map and strengthen existing local circular infrastructure?
• What partnerships are needed with local organizations for network success?
• How do we make participation in local networks convenient and attractive?</t>
        </is>
      </c>
      <c r="M11" s="46" t="n">
        <v>71</v>
      </c>
      <c r="N11" s="46" t="inlineStr">
        <is>
          <t>Manzini, E. (2009). New design knowledge. Design Studies, 30(1), 4-12. https://doi.org/10.1016/j.destud.2008.10.001
Seyfang, G., &amp; Smith, A. (2007). Grassroots innovations for sustainable development. Environmental Values, 16(2), 181-203.
Bocken, N. M., de Pauw, I., Bakker, C., &amp; van der Grinten, B. (2016). Product design and business model strategies for a circular economy. Journal of Industrial and Production Engineering, 33(5), 308-320.</t>
        </is>
      </c>
      <c r="O11" s="46" t="inlineStr">
        <is>
          <t>cars</t>
        </is>
      </c>
      <c r="P11" s="46" t="n">
        <v>1</v>
      </c>
      <c r="Q11" s="46" t="n"/>
      <c r="R11" s="46" t="inlineStr">
        <is>
          <t>LOOP 1,LOOP N,LAST LOOP</t>
        </is>
      </c>
      <c r="S11" s="46" t="inlineStr">
        <is>
          <t>Materials,Components,Products,Processes,Systems</t>
        </is>
      </c>
      <c r="T11" s="46" t="n"/>
      <c r="U11" s="46" t="n"/>
      <c r="V11" s="46" t="n"/>
      <c r="W11" s="46" t="n"/>
      <c r="X11" s="46" t="n"/>
    </row>
    <row r="12" hidden="1" ht="75" customHeight="1" s="76">
      <c r="A12" s="73" t="inlineStr">
        <is>
          <t>business</t>
        </is>
      </c>
      <c r="B12" s="73" t="n">
        <v>12</v>
      </c>
      <c r="C12" s="73" t="inlineStr">
        <is>
          <t>Df Reuse</t>
        </is>
      </c>
      <c r="D12" s="34" t="inlineStr">
        <is>
          <t>Df Local Network</t>
        </is>
      </c>
      <c r="E12" s="55" t="inlineStr">
        <is>
          <t>Df Sustainable Supply Chain</t>
        </is>
      </c>
      <c r="F12" s="73" t="n">
        <v>1</v>
      </c>
      <c r="G12" s="73" t="n"/>
      <c r="H12" s="73" t="inlineStr">
        <is>
          <t>Design products for easy return and tracking using embedded identifiers. Establish convenient collection points aligned with user behavior. Implement sorting and quality assessment systems. Create incentive mechanisms encouraging return participation.</t>
        </is>
      </c>
      <c r="I12" s="73" t="inlineStr">
        <is>
          <t>Sustainable supply chains minimize environmental and social impacts across extraction, production, and transportation of materials and products. This strategy goes beyond compliance to embed sustainability principles into supplier selection, material choices, and manufacturing processes. Products designed with supply chain sustainability in mind often feature material transparency, traceable sourcing, and lifecycle considerations from conception. By working with suppliers committed to sustainability, companies can ensure not only product quality but also positive upstream environmental and social outcomes that strengthen the entire circular system.</t>
        </is>
      </c>
      <c r="J12" s="73" t="inlineStr">
        <is>
          <t>All products in circular loops require reverse logistics: electronics, packaging, vehicles, furniture. Effective where collection points are conveniently located and incentives are strong.</t>
        </is>
      </c>
      <c r="K12" s="73" t="inlineStr">
        <is>
          <t>Products designed with return convenience. Collection systems integrated with forward distribution. Sorting and assessment enables recovery routing. Tracking systems provide optimization data.</t>
        </is>
      </c>
      <c r="L12" s="73" t="inlineStr">
        <is>
          <t>• Which materials in our supply chain have the highest environmental or social impact?
• What supplier certification and auditing systems ensure genuine sustainability?
• How can we design to minimize resource-intensive materials and processes?
• What traceability systems enable transparency across the supply chain?
• How do we balance cost considerations with sustainability commitments?
• What partnerships with suppliers can drive continuous improvement in sustainability?</t>
        </is>
      </c>
      <c r="M12" s="73" t="n">
        <v>123</v>
      </c>
      <c r="N12" s="73" t="inlineStr">
        <is>
          <t>Tukker, A. (2015). Product services for a resource-efficient and circular economy. Journal of Cleaner Production, 97, 76-91. https://doi.org/10.1016/j.jclepro.2013.11.049
Geissdoerfer, M., Savaget, P., Bocken, N. M., &amp; Hultink, E. J. (2017). The circular economy–a new sustainability paradigm? Journal of Cleaner Production, 143, 757-768. https://doi.org/10.1016/j.jclepro.2016.12.048
Stahel, W. R. (2010). The performance economy. Palgrave Macmillan.</t>
        </is>
      </c>
      <c r="O12" s="73" t="n"/>
      <c r="P12" s="73" t="n">
        <v>1</v>
      </c>
      <c r="Q12" s="73" t="n"/>
      <c r="R12" s="73" t="inlineStr">
        <is>
          <t>LOOP 1,LOOP N,LAST LOOP</t>
        </is>
      </c>
      <c r="S12" s="73" t="inlineStr">
        <is>
          <t>Materials,Components,Products,Processes,Systems</t>
        </is>
      </c>
      <c r="T12" s="73" t="n"/>
      <c r="U12" s="73" t="n"/>
      <c r="V12" s="73" t="n"/>
      <c r="W12" s="73" t="n"/>
      <c r="X12" s="73" t="n"/>
    </row>
    <row r="13" hidden="1" ht="75" customHeight="1" s="76">
      <c r="A13" s="46" t="inlineStr">
        <is>
          <t>business</t>
        </is>
      </c>
      <c r="B13" s="46" t="n">
        <v>13</v>
      </c>
      <c r="C13" s="46" t="inlineStr">
        <is>
          <t>Df Reuse</t>
        </is>
      </c>
      <c r="D13" s="57" t="inlineStr">
        <is>
          <t>Df Sustainable Production</t>
        </is>
      </c>
      <c r="E13" s="58" t="inlineStr">
        <is>
          <t>Df Use of Local Materials</t>
        </is>
      </c>
      <c r="F13" s="46" t="n">
        <v>1</v>
      </c>
      <c r="G13" s="46" t="n"/>
      <c r="H13" s="46" t="inlineStr">
        <is>
          <t>Design intuitive take-back processes integrated with customer experience. Offer convenient return locations within distribution networks. Provide clear communication on recovery pathways and environmental benefits. Implement tracking systems monitoring participation.</t>
        </is>
      </c>
      <c r="I13" s="46" t="inlineStr">
        <is>
          <t>Using locally-sourced materials embeds products within regional material systems and cultural contexts while reducing transportation impacts and supporting local economic development. Products designed with local materials foster place-based identity and often connect to traditional knowledge about material properties and durability. This approach encourages designers to deeply understand material characteristics, seasonal availability, and regional supply chains. From a circular perspective, local material systems often have established reuse and recovery networks, making end-of-life recovery more efficient and culturally accepted.</t>
        </is>
      </c>
      <c r="J13" s="46" t="inlineStr">
        <is>
          <t>Electronics, appliances, furniture, vehicles, packaging. Effective where manufacturers have direct relationships or established networks. Works for higher-value products where customer loyalty supports participation.</t>
        </is>
      </c>
      <c r="K13" s="46" t="inlineStr">
        <is>
          <t>Formal program managed by manufacturer or partners. Clear environmental communication. Incentives aligned with behavior change goals. Participation tracking enables optimization.</t>
        </is>
      </c>
      <c r="L13" s="46" t="inlineStr">
        <is>
          <t>• What are the most suitable local materials for our product category?
• How do local material properties inform structural and aesthetic design?
• What certifications or standards guarantee sustainability of local sourcing?
• How can design celebrate and communicate the local material origin?
• What is the environmental cost differential between local and conventional materials?
• How do we ensure consistent quality across variable local material sources?</t>
        </is>
      </c>
      <c r="M13" s="46" t="n">
        <v>133</v>
      </c>
      <c r="N13" s="46" t="inlineStr">
        <is>
          <t>Vezzoli, C., Kohtala, C., &amp; Srinivasan, A. (2014). Product-service system design for sustainability. Greenleaf Publishing.
Manzini, E., &amp; Vezzoli, C. (2008). Design for environmental sustainability (2nd ed.). Springer-Verlag.
Braungart, M., &amp; McDonough, W. (2002). Cradle to cradle: Remaking the way we make things. North Point Press.</t>
        </is>
      </c>
      <c r="O13" s="46" t="inlineStr">
        <is>
          <t>cars</t>
        </is>
      </c>
      <c r="P13" s="46" t="n">
        <v>1</v>
      </c>
      <c r="Q13" s="46" t="n"/>
      <c r="R13" s="46" t="inlineStr">
        <is>
          <t>LOOP 1</t>
        </is>
      </c>
      <c r="S13" s="46" t="inlineStr">
        <is>
          <t>Materials,Processes,Systems</t>
        </is>
      </c>
      <c r="T13" s="46" t="n"/>
      <c r="U13" s="46" t="n"/>
      <c r="V13" s="46" t="n"/>
      <c r="W13" s="46" t="n"/>
      <c r="X13" s="46" t="n"/>
    </row>
    <row r="14" hidden="1" ht="75" customHeight="1" s="76">
      <c r="A14" s="73" t="inlineStr">
        <is>
          <t>business</t>
        </is>
      </c>
      <c r="B14" s="73" t="n">
        <v>14</v>
      </c>
      <c r="C14" s="73" t="inlineStr">
        <is>
          <t>Df Reuse</t>
        </is>
      </c>
      <c r="D14" s="57" t="inlineStr">
        <is>
          <t>Df Sustainable Production</t>
        </is>
      </c>
      <c r="E14" s="58" t="inlineStr">
        <is>
          <t>Df Local Manufacturing</t>
        </is>
      </c>
      <c r="F14" s="73" t="n">
        <v>1</v>
      </c>
      <c r="G14" s="73" t="n"/>
      <c r="H14" s="73" t="inlineStr">
        <is>
          <t>Design anticipating take-back and recovery requirements under EPR regulations. Implement tracking documenting material composition and procedures. Engage with EPR organizations managing collection and recovery. Optimize designs reducing per-unit recovery costs.</t>
        </is>
      </c>
      <c r="I14" s="73" t="inlineStr">
        <is>
          <t>Local manufacturing reduces transportation impacts, creates community employment, and enables adaptive reuse of regional production infrastructure. By manufacturing products closer to consumption markets, companies reduce logistics emissions while building transparent, accountable production systems that communities can understand and engage with. Local manufacturing also creates opportunities for customization and responsive production that matches actual demand. This approach supports circular systems by enabling local repair, refurbishment, and adaptation services that extend product lifespans.</t>
        </is>
      </c>
      <c r="J14" s="73" t="inlineStr">
        <is>
          <t>All categories where EPR regulation exists: electronics, packaging, vehicles, batteries. Mandatory in EU, voluntary elsewhere. Particularly effective for hazardous or difficult-to-recycle products.</t>
        </is>
      </c>
      <c r="K14" s="73" t="inlineStr">
        <is>
          <t>Regulatory framework assigns responsibility. Manufacturers coordinate with approved facilities. Material composition transparency required. Continuous optimization reduces recovery costs.</t>
        </is>
      </c>
      <c r="L14" s="73" t="inlineStr">
        <is>
          <t>• What manufacturing capabilities already exist locally that could be adapted?
• How should product design be modified for local production equipment and expertise?
• What quality control systems ensure consistency in locally-manufactured products?
• How do we establish supply chains for materials needed in local manufacturing?
• What training and capacity-building is needed for local manufacturers?
• How does local manufacturing economics compare to distributed global supply chains?</t>
        </is>
      </c>
      <c r="M14" s="73" t="n">
        <v>104</v>
      </c>
      <c r="N14" s="73" t="inlineStr">
        <is>
          <t>Kohtala, C. (2015). Addressing sustainability in distributed manufacturing. Journal of Cleaner Production, 135, 17-27.
Ellen MacArthur Foundation. (2015). Growth within: A circular economy vision for a competitive Europe.
Geissdoerfer, M., Savaget, P., Bocken, N. M., &amp; Hultink, E. J. (2017). The circular economy–a new sustainability paradigm? Journal of Cleaner Production, 143, 757-768.</t>
        </is>
      </c>
      <c r="O14" s="73" t="inlineStr">
        <is>
          <t>packaging</t>
        </is>
      </c>
      <c r="P14" s="73" t="n">
        <v>1</v>
      </c>
      <c r="Q14" s="73" t="n"/>
      <c r="R14" s="73" t="inlineStr">
        <is>
          <t>LOOP 1</t>
        </is>
      </c>
      <c r="S14" s="73" t="inlineStr">
        <is>
          <t>Processes,Systems</t>
        </is>
      </c>
      <c r="T14" s="73" t="n"/>
      <c r="U14" s="73" t="n"/>
      <c r="V14" s="73" t="n"/>
      <c r="W14" s="73" t="n"/>
      <c r="X14" s="73" t="n"/>
    </row>
    <row r="15" hidden="1" ht="75" customHeight="1" s="76">
      <c r="A15" s="46" t="inlineStr">
        <is>
          <t>business</t>
        </is>
      </c>
      <c r="B15" s="46" t="n">
        <v>15</v>
      </c>
      <c r="C15" s="46" t="inlineStr">
        <is>
          <t>Df Reuse</t>
        </is>
      </c>
      <c r="D15" s="57" t="inlineStr">
        <is>
          <t>Df Sustainable Production</t>
        </is>
      </c>
      <c r="E15" s="58" t="inlineStr">
        <is>
          <t>Df Use of Renewable Energy</t>
        </is>
      </c>
      <c r="F15" s="46" t="n">
        <v>1</v>
      </c>
      <c r="G15" s="46" t="n"/>
      <c r="H15" s="46" t="inlineStr">
        <is>
          <t>Implement clear material identification marking on all components. Use standardized symbols indicating use and end-of-life pathways. Provide digital access to composition data and disassembly instructions. Communicate relevant circular economy certifications.</t>
        </is>
      </c>
      <c r="I15" s="46" t="inlineStr">
        <is>
          <t>Renewable energy in manufacturing dramatically reduces carbon intensity and eliminates dependence on finite fossil fuel supplies, directly supporting circular economy objectives of resource regeneration. Products manufactured with renewable energy have substantially lower embodied carbon regardless of material choice, making this a high-leverage design decision. Additionally, designing for renewable energy production on-site or through clean grids can become a point of product differentiation and consumer value. From a circular perspective, renewable energy aligns with the principle that economic systems should operate within planetary boundaries.</t>
        </is>
      </c>
      <c r="J15" s="46" t="inlineStr">
        <is>
          <t>All products benefit from clear labelling. Critical for complex products with multiple materials or hazardous substances. Effective for building trust in secondhand and refurbished products.</t>
        </is>
      </c>
      <c r="K15" s="46" t="inlineStr">
        <is>
          <t>Clear, standardized visible marking throughout product life. Material composition linked to physical product. Digital systems provide technical information. Certifications validated by third parties.</t>
        </is>
      </c>
      <c r="L15" s="46" t="inlineStr">
        <is>
          <t>• What renewable energy sources are available and viable at our manufacturing sites?
• How can manufacturing processes be redesigned to maximize renewable energy efficiency?
• What is the cost premium for renewable energy compared to conventional power?
• How do we ensure supply chain transparency regarding energy sources?
• Can products be designed to facilitate renewable energy use by end-users?
• How should renewable energy sourcing be communicated and certified to consumers?</t>
        </is>
      </c>
      <c r="M15" s="46" t="n">
        <v>80</v>
      </c>
      <c r="N15" s="46" t="inlineStr">
        <is>
          <t>Stahel, W. R. (2010). The performance economy. Palgrave Macmillan.
Vezzoli, C., Kohtala, C., &amp; Srinivasan, A. (2014). Product-service system design for sustainability. Greenleaf Publishing.
Ellen MacArthur Foundation. (2015). Growth within: A circular economy vision for a competitive Europe.</t>
        </is>
      </c>
      <c r="O15" s="46" t="n"/>
      <c r="P15" s="46" t="n">
        <v>1</v>
      </c>
      <c r="Q15" s="46" t="n"/>
      <c r="R15" s="46" t="inlineStr">
        <is>
          <t>LOOP 1,LOOP N,LAST LOOP</t>
        </is>
      </c>
      <c r="S15" s="46" t="inlineStr">
        <is>
          <t>Processes,Systems</t>
        </is>
      </c>
      <c r="T15" s="46" t="n"/>
      <c r="U15" s="46" t="n"/>
      <c r="V15" s="46" t="n"/>
      <c r="W15" s="46" t="n"/>
      <c r="X15" s="46" t="n"/>
    </row>
    <row r="16" hidden="1" ht="75" customHeight="1" s="76">
      <c r="A16" s="73" t="inlineStr">
        <is>
          <t>business</t>
        </is>
      </c>
      <c r="B16" s="73" t="n">
        <v>16</v>
      </c>
      <c r="C16" s="73" t="inlineStr">
        <is>
          <t>Df Reuse</t>
        </is>
      </c>
      <c r="D16" s="57" t="inlineStr">
        <is>
          <t>Df Sustainable Production</t>
        </is>
      </c>
      <c r="E16" s="58" t="inlineStr">
        <is>
          <t>Df Local Energy Production</t>
        </is>
      </c>
      <c r="F16" s="73" t="n">
        <v>1</v>
      </c>
      <c r="G16" s="73" t="n"/>
      <c r="H16" s="73" t="inlineStr">
        <is>
          <t>Design with accessible maintenance points and standardized intervals. Implement condition monitoring systems providing early warnings. Develop clear maintenance documentation and training. Establish service networks ensuring consistent quality.</t>
        </is>
      </c>
      <c r="I16" s="73" t="inlineStr">
        <is>
          <t>Local energy production decentralizes power systems, builds community resilience, and reduces transmission losses inherent in centralized grids. Products and manufacturing systems designed to leverage local renewable energy become more resilient to supply disruptions while reducing grid demands. This strategy creates opportunities for distributed manufacturing and repair ecosystems that operate independently of centralized energy infrastructure. From a circular economy perspective, local energy production supports the principle of operating within bioregional boundaries and enables communities to have direct control over sustainability outcomes.</t>
        </is>
      </c>
      <c r="J16" s="73" t="inlineStr">
        <is>
          <t>High-value products subject to wear: vehicles, machinery, appliances. Effective where monitoring technology enables predictive maintenance. Works well in professional and industrial contexts.</t>
        </is>
      </c>
      <c r="K16" s="73" t="inlineStr">
        <is>
          <t>Regular inspections identify wear before failure. Preventive replacements scheduled beforehand. Maintenance performed by trained professionals. Data systems track maintenance history.</t>
        </is>
      </c>
      <c r="L16" s="73" t="inlineStr">
        <is>
          <t>• What local renewable energy resources are feasible for manufacturing or product operation?
• How can products be designed to generate or efficiently use local renewable energy?
• What energy storage systems are needed for reliable operation with renewable sources?
• How do we integrate distributed energy production into manufacturing operations?
• What community or regulatory partnerships enable local energy infrastructure?
• How can local energy production be monitored and optimized over product lifetime?</t>
        </is>
      </c>
      <c r="M16" s="73" t="n">
        <v>84</v>
      </c>
      <c r="N16" s="73" t="inlineStr">
        <is>
          <t>Stahel, W. R. (2010). The performance economy. Palgrave Macmillan.
Lacy, P., &amp; Rutqvist, J. (2015). Waste to wealth: The circular economy advantage. Palgrave Macmillan.
Vezzoli, C., Kohtala, C., &amp; Srinivasan, A. (2014). Product-service system design for sustainability. Greenleaf Publishing.</t>
        </is>
      </c>
      <c r="O16" s="73" t="inlineStr">
        <is>
          <t>service</t>
        </is>
      </c>
      <c r="P16" s="73" t="n">
        <v>1</v>
      </c>
      <c r="Q16" s="73" t="n"/>
      <c r="R16" s="73" t="inlineStr">
        <is>
          <t>LOOP 1,LOOP N,LAST LOOP</t>
        </is>
      </c>
      <c r="S16" s="73" t="inlineStr">
        <is>
          <t>Processes,Systems</t>
        </is>
      </c>
      <c r="T16" s="73" t="n"/>
      <c r="U16" s="73" t="n"/>
      <c r="V16" s="73" t="n"/>
      <c r="W16" s="73" t="n"/>
      <c r="X16" s="73" t="n"/>
    </row>
    <row r="17" hidden="1" ht="75" customHeight="1" s="76">
      <c r="A17" s="46" t="inlineStr">
        <is>
          <t>business</t>
        </is>
      </c>
      <c r="B17" s="46" t="n">
        <v>137</v>
      </c>
      <c r="C17" s="46" t="inlineStr">
        <is>
          <t>Df Reuse</t>
        </is>
      </c>
      <c r="D17" s="57" t="inlineStr">
        <is>
          <t>Df Sustainable Production</t>
        </is>
      </c>
      <c r="E17" s="57" t="inlineStr">
        <is>
          <t>Df Sustainable Production</t>
        </is>
      </c>
      <c r="F17" s="46" t="n">
        <v>1</v>
      </c>
      <c r="G17" s="46" t="n"/>
      <c r="H17" s="46" t="inlineStr">
        <is>
          <t>Design manufacturing processes minimizing resource consumption and environmental impact. Select production methods using renewable energy and recycled materials. Minimize waste and emissions throughout production. Implement continuous improvement based on environmental data.</t>
        </is>
      </c>
      <c r="I17" s="46" t="inlineStr">
        <is>
          <t>Sustainable production encompasses the operational practices, facility management, and process optimization that minimize environmental and social impacts during manufacturing. This comprehensive approach addresses water use, waste generation, chemical safety, worker conditions, and emissions reduction throughout production operations. Products designed to be sustainably produced require manufacturers to implement cleaner production technologies, waste minimization, and resource efficiency at every stage. Sustainable production practices often reduce costs through efficiency gains while improving product quality, creating competitive advantages beyond environmental benefits.</t>
        </is>
      </c>
      <c r="J17" s="46" t="inlineStr">
        <is>
          <t>All product categories. Particularly important where production impact is substantial. Effective where renewable energy and recycled materials are available.</t>
        </is>
      </c>
      <c r="K17" s="46" t="inlineStr">
        <is>
          <t>Renewable energy powering production. Recycled material inputs. Minimal waste and emissions. Continuous improvement systems.</t>
        </is>
      </c>
      <c r="L17" s="46" t="inlineStr">
        <is>
          <t>• What are the primary environmental and social hotspots in our production processes?
• How can we reduce water consumption, waste generation, and chemical inputs?
• What lean manufacturing and efficiency practices eliminate process waste?
• How do we ensure worker safety, health, and fair compensation in production?
• What facility design and energy management improvements reduce operational impacts?
• How can production flexibility enable demand-driven manufacturing and waste reduction?</t>
        </is>
      </c>
      <c r="M17" s="46" t="n">
        <v>97</v>
      </c>
      <c r="N17" s="46" t="inlineStr">
        <is>
          <t>Geissdoerfer, M., Savaget, P., Bocken, N. M., &amp; Hultink, E. J. (2017). The circular economy–a new sustainability paradigm? Journal of Cleaner Production, 143, 757-768. https://doi.org/10.1016/j.jclepro.2016.12.048
Tukker, A. (2015). Product services for a resource-efficient and circular economy. Journal of Cleaner Production, 97, 76-91.
Stahel, W. R. (2010). The performance economy. Palgrave Macmillan.</t>
        </is>
      </c>
      <c r="O17" s="46" t="n"/>
      <c r="P17" s="46" t="n"/>
      <c r="Q17" s="46" t="n"/>
      <c r="R17" s="46" t="inlineStr">
        <is>
          <t>LOOP 1,LOOP N,LAST LOOP</t>
        </is>
      </c>
      <c r="S17" s="46" t="inlineStr">
        <is>
          <t>Materials,Components,Products,Processes,Systems</t>
        </is>
      </c>
      <c r="T17" s="46" t="n"/>
      <c r="U17" s="46" t="n"/>
      <c r="V17" s="46" t="n"/>
      <c r="W17" s="46" t="n"/>
      <c r="X17" s="46" t="n"/>
    </row>
    <row r="18" hidden="1" ht="75" customHeight="1" s="76">
      <c r="A18" s="73" t="inlineStr">
        <is>
          <t>business</t>
        </is>
      </c>
      <c r="B18" s="73" t="n">
        <v>17</v>
      </c>
      <c r="C18" s="73" t="inlineStr">
        <is>
          <t>Df Reuse</t>
        </is>
      </c>
      <c r="D18" s="40" t="inlineStr">
        <is>
          <t>Df Used Product Management</t>
        </is>
      </c>
      <c r="E18" s="41" t="inlineStr">
        <is>
          <t>Df Thoughtful Service</t>
        </is>
      </c>
      <c r="F18" s="73" t="n">
        <v>1</v>
      </c>
      <c r="G18" s="73" t="n"/>
      <c r="H18" s="73" t="inlineStr">
        <is>
          <t>Design for durability supporting economically viable extended warranty periods. Implement predictive maintenance reducing failure rates. Establish service networks for warranty fulfillment. Use claims data driving continuous design improvement.</t>
        </is>
      </c>
      <c r="I18" s="73" t="inlineStr">
        <is>
          <t>In this domain, secondary companies buy products from private entities. In this strategy, it is important to focus on the development of strong relationships with sellers (private entities) by articulating thoughtful service messaging. Regular communications are vital to appropriately satisfy the sellers need for a win-win situation.</t>
        </is>
      </c>
      <c r="J18" s="73" t="inlineStr">
        <is>
          <t>Durable goods and high-value products: appliances, vehicles, furniture, electronics. Effective where service networks exist. Viable where quality improvements reduce claim rates.</t>
        </is>
      </c>
      <c r="K18" s="73" t="inlineStr">
        <is>
          <t>Warranty extends beyond initial sale. Manufacturer risk encourages durability. Service network capability required. Claims data drives improvement.</t>
        </is>
      </c>
      <c r="L18" s="73" t="inlineStr">
        <is>
          <t>• What support services do users need throughout product ownership?
• How can service touchpoints be designed to encourage longevity behaviors?
• What training, education, or guidance extends product life and functionality?
• How do we build emotional connection through thoughtful service interactions?
• What service infrastructure (hotlines, apps, technicians) ensures accessibility?
• How do services facilitate product maintenance, repair, and eventual reuse?</t>
        </is>
      </c>
      <c r="M18" s="73" t="n">
        <v>136</v>
      </c>
      <c r="N18" s="73" t="inlineStr">
        <is>
          <t>Tukker, A. (2015). Product services for a resource-efficient and circular economy. Journal of Cleaner Production, 97, 76-91. https://doi.org/10.1016/j.jclepro.2013.11.049
Bocken, N. M., de Pauw, I., Bakker, C., &amp; van der Grinten, B. (2016). Product design and business model strategies for a circular economy. Journal of Industrial and Production Engineering, 33(5), 308-320.
Manzini, E., &amp; Vezzoli, C. (2008). Design for environmental sustainability (2nd ed.). Springer-Verlag.</t>
        </is>
      </c>
      <c r="O18" s="73" t="n"/>
      <c r="P18" s="73" t="n">
        <v>1</v>
      </c>
      <c r="Q18" s="73" t="n"/>
      <c r="R18" s="73" t="inlineStr">
        <is>
          <t>LOOP N,LAST LOOP</t>
        </is>
      </c>
      <c r="S18" s="73" t="inlineStr">
        <is>
          <t>Processes,Systems</t>
        </is>
      </c>
      <c r="T18" s="73" t="n"/>
      <c r="U18" s="73" t="n"/>
      <c r="V18" s="73" t="n"/>
      <c r="W18" s="73" t="n"/>
      <c r="X18" s="73" t="n"/>
    </row>
    <row r="19" hidden="1" ht="75" customHeight="1" s="76">
      <c r="A19" s="46" t="inlineStr">
        <is>
          <t>business</t>
        </is>
      </c>
      <c r="B19" s="46" t="n">
        <v>18</v>
      </c>
      <c r="C19" s="46" t="inlineStr">
        <is>
          <t>Df Reuse</t>
        </is>
      </c>
      <c r="D19" s="40" t="inlineStr">
        <is>
          <t>Df Used Product Management</t>
        </is>
      </c>
      <c r="E19" s="40" t="inlineStr">
        <is>
          <t>Df Used Product Management</t>
        </is>
      </c>
      <c r="F19" s="46" t="n">
        <v>1</v>
      </c>
      <c r="G19" s="46" t="n"/>
      <c r="H19" s="46" t="inlineStr">
        <is>
          <t>Design components for lifespan matching expected use periods. Avoid cosmetic-only updates driving replacement. Design for component upgrade compatibility. Use durable, timeless aesthetics less subject to fashion cycles.</t>
        </is>
      </c>
      <c r="I19" s="46" t="inlineStr">
        <is>
          <t xml:space="preserve">This strategy is related to the management of used products from private entities to be sold in second-hand or antique markets via physical or virtual shopping. This commercial system, to be environmental meaningful, should be controlled and analyzed. In this strategy, designers should considerate where the used products come from, the physical condition of the product for potential reselling and timing for cleaning. Usually, second-hand products are sold in different market segments with the lowest price compared to the new one. However in certain segments, second-hand products become increasingly rare, these items can acquire a higher value and be sold with a higher price than a new one.    </t>
        </is>
      </c>
      <c r="J19" s="46" t="inlineStr">
        <is>
          <t>All categories benefit from durability focus. Particularly important for long-use expectations: vehicles, buildings, furniture. Effective where premium pricing supports extended development.</t>
        </is>
      </c>
      <c r="K19" s="46" t="inlineStr">
        <is>
          <t>Technical functionality preserved longer. Cosmetic features designed for timeless appeal. Component compatibility enables upgrades. Supply chains support long-term availability.</t>
        </is>
      </c>
      <c r="L19" s="46" t="inlineStr">
        <is>
          <t>• What systems track products from end of first-user life through recovery?
• How are returned products assessed for reuse, repair, refurbishment potential?
• What logistics infrastructure supports collection and distribution of used products?
• How do we communicate product condition and history to secondary users?
• What storage, warehousing, and handling practices preserve product quality?
• How can used product management be scaled profitably and sustainably?</t>
        </is>
      </c>
      <c r="M19" s="46" t="n">
        <v>120</v>
      </c>
      <c r="N19" s="46" t="inlineStr">
        <is>
          <t>Bakker, C., Wang, F., Huisman, J., &amp; den Hollander, M. (2014). Products that go round: Exploring product life extension through design. Journal of Cleaner Production, 69, 10-16. https://doi.org/10.1016/j.jclepro.2014.01.028
Ellen MacArthur Foundation. (2015). Growth within: A circular economy vision for a competitive Europe.
Lacy, P., &amp; Rutqvist, J. (2015). Waste to wealth: The circular economy advantage. Palgrave Macmillan.</t>
        </is>
      </c>
      <c r="O19" s="46" t="n"/>
      <c r="P19" s="46" t="n">
        <v>1</v>
      </c>
      <c r="Q19" s="46" t="n"/>
      <c r="R19" s="46" t="inlineStr">
        <is>
          <t>LOOP N,LAST LOOP</t>
        </is>
      </c>
      <c r="S19" s="46" t="inlineStr">
        <is>
          <t>Processes,Systems</t>
        </is>
      </c>
      <c r="T19" s="46" t="n"/>
      <c r="U19" s="46" t="n"/>
      <c r="V19" s="46" t="n"/>
      <c r="W19" s="46" t="n"/>
      <c r="X19" s="46" t="n"/>
    </row>
    <row r="20" hidden="1" ht="75" customHeight="1" s="76">
      <c r="A20" s="73" t="inlineStr">
        <is>
          <t>resource</t>
        </is>
      </c>
      <c r="B20" s="73" t="n">
        <v>19</v>
      </c>
      <c r="C20" s="73" t="inlineStr">
        <is>
          <t>Df Reuse</t>
        </is>
      </c>
      <c r="D20" s="44" t="inlineStr">
        <is>
          <t>Df Circular Product Architecture</t>
        </is>
      </c>
      <c r="E20" s="45" t="inlineStr">
        <is>
          <t>Df Failure</t>
        </is>
      </c>
      <c r="F20" s="73" t="n">
        <v>1</v>
      </c>
      <c r="G20" s="73" t="n"/>
      <c r="H20" s="73" t="inlineStr">
        <is>
          <t>Use reversible fastening (screws, bolts, clips) instead of permanent methods. Design nested, modular components enabling sequential disassembly. Minimize material variety. Provide clear disassembly documentation.</t>
        </is>
      </c>
      <c r="I20" s="73" t="inlineStr">
        <is>
          <t>In this strategy, the designer should identify the weak points of the product in order to plan when, where and how a possible failure will occur. The weak points can be related to manufacturing, materials used and way of use. Usually, products have parts of different materials joined together, different materials have different failure point or wear (depending on mechanical or humans tractions and use). The failure can happen on three levels: system, process and product and for each level there different classification (minor, marginal, critical and catastrophic) and probability (extremely unlikely, remote, low to moderate, moderate and high) of failure occurrence.  
• Identify the effect of different fault for each part of the product;
• Identify the negative effect of failure in the user's eyes;
• Identification of group failure effect;
• Identify possible approaches for uncovering potential failures;
• Identify and forecast possible design changes to prevent or mitigate failure;</t>
        </is>
      </c>
      <c r="J20" s="73" t="inlineStr">
        <is>
          <t>Especially critical for electronics, appliances, furniture, complex products. Enables cost-effective recovery for products difficult to repair intact.</t>
        </is>
      </c>
      <c r="K20" s="73" t="inlineStr">
        <is>
          <t>Modular architecture with clear boundaries. Reversible assembly methods throughout. Material diversity minimized. Disassembly procedures documented.</t>
        </is>
      </c>
      <c r="L20" s="73" t="inlineStr">
        <is>
          <t xml:space="preserve">• How the system, process or part failure can be predicted and how it can be managed? 
• How the part failure can be quickly fixed for a good experience on the user's eyes? 
• Where the product will fail?
• How the product will fail? 
• Who will be there when the product will fail? And, how he/she will manage the fail?
• Is the product still working properly after a part failure? Will the user willing to keep using the product in this condition? 
</t>
        </is>
      </c>
      <c r="M20" s="73" t="n">
        <v>90</v>
      </c>
      <c r="N20" s="73" t="inlineStr">
        <is>
          <t xml:space="preserve">B.S. Dhillon. (1999). Engineering Maintainability: How to Design for Reliability and Easy Maintenance. Houston, Tex: Gulf Professional Publishing.
den Hollander, M. C. (2018). Design for Managing Obsolescence: A Design Methodology for Preserving Product Integrity in a Circular Economy.
</t>
        </is>
      </c>
      <c r="O20" s="73" t="n"/>
      <c r="P20" s="73" t="n">
        <v>1</v>
      </c>
      <c r="Q20" s="73" t="n"/>
      <c r="R20" s="73" t="inlineStr">
        <is>
          <t>LOOP 1</t>
        </is>
      </c>
      <c r="S20" s="73" t="inlineStr">
        <is>
          <t>Materials,Components,Products</t>
        </is>
      </c>
      <c r="T20" s="73" t="n"/>
      <c r="U20" s="73" t="n"/>
      <c r="V20" s="73" t="n"/>
      <c r="W20" s="73" t="n"/>
      <c r="X20" s="73" t="n"/>
    </row>
    <row r="21" hidden="1" ht="75" customHeight="1" s="76">
      <c r="A21" s="46" t="inlineStr">
        <is>
          <t>resource</t>
        </is>
      </c>
      <c r="B21" s="46" t="n">
        <v>20</v>
      </c>
      <c r="C21" s="46" t="inlineStr">
        <is>
          <t>Df Reuse</t>
        </is>
      </c>
      <c r="D21" s="44" t="inlineStr">
        <is>
          <t>Df Circular Product Architecture</t>
        </is>
      </c>
      <c r="E21" s="45" t="inlineStr">
        <is>
          <t>Df Standardization</t>
        </is>
      </c>
      <c r="F21" s="46" t="n">
        <v>1</v>
      </c>
      <c r="G21" s="46" t="n"/>
      <c r="H21" s="46" t="inlineStr">
        <is>
          <t>In this strategy, it is important to focus on the maximization of standard components in order to reach the optimal technical and economical solution to recurrent problems.
- Facilitate communication by creating distinct conceptions with definitions and terms;
- Secure compatibility and interoperability through restrictions of size and weight, dimensions and interfaces;
- Accomplish variety reduction through the selection of size and weight, dimensions and designs;
- Facilitate flexibility through modularization;
- Standardize characteristics, functions, qualities and safety for products, processes, systems, and services;
- Specify distinct testability methods.</t>
        </is>
      </c>
      <c r="I21" s="46" t="inlineStr">
        <is>
          <t>The development of standard criteria would improve the repair, reconstruction and restoration possibilities - also between different producers. The use of this strategy contributes to the sharing of more standard parts, standard platforms for various product categories and increased modularity during the production process. The use of non-standardized parts usually requires expanded inventories and extra training for repair personnel.
- faster product development;
- fulfilling future market desires;
- ease of repair</t>
        </is>
      </c>
      <c r="J21" s="46" t="inlineStr">
        <is>
          <t>- not all secondary or recovered parts and materials can be used for the same initial purpose (e.g. food packaging)
-</t>
        </is>
      </c>
      <c r="K21" s="46" t="inlineStr">
        <is>
          <t>Standardized interfaces support compatible upgrades. Core elements preserve longer than subsystems. Procedures documented and accessible. Supply chains ensure availability.</t>
        </is>
      </c>
      <c r="L21" s="46" t="inlineStr">
        <is>
          <t>• What components, interfaces, or dimensions should be standardized across products?
• How do standards facilitate interoperability and compatibility in use and reuse?
• What industry or international standards already exist for our product category?
• How can design participate in developing emerging circular economy standards?
• What balance exists between standardization and product differentiation?
• How do standards reduce total cost of ownership across multi-user lifecycles?</t>
        </is>
      </c>
      <c r="M21" s="46" t="n">
        <v>22</v>
      </c>
      <c r="N21" s="46" t="inlineStr">
        <is>
          <t xml:space="preserve">Bengtsson, M. (2003). Standardization issues in condition based maintenance. Department of Innovation, Design and Product Development, Mälardalen University, Sweden.
</t>
        </is>
      </c>
      <c r="O21" s="46" t="n"/>
      <c r="P21" s="46" t="n"/>
      <c r="Q21" s="46" t="inlineStr">
        <is>
          <t>Df Repairability</t>
        </is>
      </c>
      <c r="R21" s="46" t="inlineStr">
        <is>
          <t>LOOP 1</t>
        </is>
      </c>
      <c r="S21" s="46" t="inlineStr">
        <is>
          <t>Materials,Components,Products,Processes</t>
        </is>
      </c>
      <c r="T21" s="46" t="n"/>
      <c r="U21" s="46" t="n"/>
      <c r="V21" s="46" t="n"/>
      <c r="W21" s="46" t="n"/>
      <c r="X21" s="46" t="n"/>
    </row>
    <row r="22" hidden="1" ht="75" customHeight="1" s="76">
      <c r="A22" s="73" t="inlineStr">
        <is>
          <t>resource</t>
        </is>
      </c>
      <c r="B22" s="73" t="n">
        <v>21</v>
      </c>
      <c r="C22" s="73" t="inlineStr">
        <is>
          <t>Df Reuse</t>
        </is>
      </c>
      <c r="D22" s="44" t="inlineStr">
        <is>
          <t>Df Circular Product Architecture</t>
        </is>
      </c>
      <c r="E22" s="45" t="inlineStr">
        <is>
          <t>Df Reliability</t>
        </is>
      </c>
      <c r="F22" s="73" t="n">
        <v>1</v>
      </c>
      <c r="G22" s="73" t="n"/>
      <c r="H22" s="73" t="inlineStr">
        <is>
          <t>Design easily replaceable wear components (surfaces, pads, elements). Use durable core structures surviving multiple refurbishment cycles. Standardize components across variants. Document refurbishment procedures.</t>
        </is>
      </c>
      <c r="I22" s="73" t="inlineStr">
        <is>
          <t>Reliability is the probability that a product will continue to work normally over a specified interval of time, under specified conditions. A more reliable product spends less of its time being maintained, so there is often a design trade-off between reliability and maintainability. Reliability is extremely design-sensitive. Very slight changes to the design of a component can cause profound changes in reliability, which is why it is important to specify product reliability and maintainability targets before any design work is undertaken. This in turn requires early knowledge of the anticipated service life of the product, and the degree to which parts of the product are to be made replaceable.</t>
        </is>
      </c>
      <c r="J22" s="73" t="inlineStr">
        <is>
          <t>Furniture, electronics, vehicles, appliances. Effective where secondary markets support refurbished demand. Works for products with aesthetic wear distinct from functional deterioration.</t>
        </is>
      </c>
      <c r="K22" s="73" t="inlineStr">
        <is>
          <t>Core structure designed for multiple cycles. Wear components standardized and easily replaceable. Refurbishment documented and standardized. Quality supports consumer confidence.</t>
        </is>
      </c>
      <c r="L22" s="73" t="inlineStr">
        <is>
          <t>• Do I really understand how product reliability helps our customers?
• How does our expression of reliability requirements leverage customer benefits?</t>
        </is>
      </c>
      <c r="M22" s="73" t="n">
        <v>118</v>
      </c>
      <c r="N22" s="73" t="inlineStr">
        <is>
          <t>Andrew Taylor BSc MA FRSA - Art and Engineering in Product Design</t>
        </is>
      </c>
      <c r="O22" s="73" t="n"/>
      <c r="P22" s="73" t="n">
        <v>1</v>
      </c>
      <c r="Q22" s="73" t="n"/>
      <c r="R22" s="73" t="inlineStr">
        <is>
          <t>LOOP 1</t>
        </is>
      </c>
      <c r="S22" s="73" t="inlineStr">
        <is>
          <t>Materials,Components,Products</t>
        </is>
      </c>
      <c r="T22" s="73" t="n"/>
      <c r="U22" s="73" t="n"/>
      <c r="V22" s="73" t="n"/>
      <c r="W22" s="73" t="n"/>
      <c r="X22" s="73" t="n"/>
    </row>
    <row r="23" hidden="1" ht="75" customHeight="1" s="76">
      <c r="A23" s="46" t="inlineStr">
        <is>
          <t>resource</t>
        </is>
      </c>
      <c r="B23" s="46" t="n">
        <v>22</v>
      </c>
      <c r="C23" s="46" t="inlineStr">
        <is>
          <t>Df Reuse</t>
        </is>
      </c>
      <c r="D23" s="44" t="inlineStr">
        <is>
          <t>Df Circular Product Architecture</t>
        </is>
      </c>
      <c r="E23" s="45" t="inlineStr">
        <is>
          <t>Df Modulariy</t>
        </is>
      </c>
      <c r="F23" s="46" t="n">
        <v>1</v>
      </c>
      <c r="G23" s="46" t="n"/>
      <c r="H23" s="46" t="inlineStr">
        <is>
          <t>Design surfaces with smooth, non-porous finishes resistant to staining. Avoid crevices and complex geometries trapping dirt. Specify materials compatible with standard cleaning methods. Enable disassembly for thorough cleaning.</t>
        </is>
      </c>
      <c r="I23" s="46" t="inlineStr">
        <is>
          <t>Design for Modularity means to break up a complex geometry then bring it down to the small parts. Then these small parts are created independently in a way that it is possible to combine them into a larger system. Because of their modularity parts systems can be exchanged, added, removed and rearranged. This is great for consumers because they get to customize the system to fit their needs. For a manufacturing perspective modular design is also cost efficient, because building small simple parts that can be connected later is easier and cheaper than building one large complex piece at once. Modularity leads to a system that is flexible, scalable, and cost-efficient but also customizable, reusable and consistent.</t>
        </is>
      </c>
      <c r="J23" s="46" t="inlineStr">
        <is>
          <t>Reusable food service items, furniture, vehicles, appliances, equipment. Essential for high-volume sharing systems. Particularly important for hygiene-sensitive products.</t>
        </is>
      </c>
      <c r="K23" s="46" t="inlineStr">
        <is>
          <t xml:space="preserve">There are three typologies of modularity - slot, bus and sectional. Each typology should be selected from the designer depending on the situation and goal of the product architecture.
 •  Slot - Here, each interface between parts in a slot architecture has a distinct form from other parts, thus making it impossible to exchange the multiple parts in the item. For example, an automobile consists of different parts that are joined together but that cannot be replaced one another. 
 •  Bus - Here, different parts are joined together through a common structure. All the parts have the same interface and they can be flexible and interchanged. An easy example can be the USB port, which has the same interface for different kind of computers devices.
 •  Sectional - Here, parts have the same interface, however, no all parts can join each other in the same way. A possible example is the Ikea furniture, where a wardrobe use the same joints but not all parts can be joined with each other because the joints are placed in different distances. </t>
        </is>
      </c>
      <c r="L23" s="46" t="inlineStr">
        <is>
          <t xml:space="preserve">• Is modularity making the design change cost-effective?
• Does modularity improve reliability and serviceability?
• Is it possible to access to each module independently?
• How modularity can help to maintain and reuse the product?
• Are modules easily replaceable?
</t>
        </is>
      </c>
      <c r="M23" s="46" t="n">
        <v>74</v>
      </c>
      <c r="N23" s="46" t="inlineStr">
        <is>
          <t>Ulrich, K. (1995). The role of product architecture in the manufacturing firm. Research Policy, 24(3), 419–440. 
B.S. Dhillon. (1999). Engineering Maintainability: How to Design for Reliability and Easy Maintenance. Houston, Tex: Gulf Professional Publishing.</t>
        </is>
      </c>
      <c r="O23" s="46" t="n"/>
      <c r="P23" s="46" t="n">
        <v>1</v>
      </c>
      <c r="Q23" s="46" t="n"/>
      <c r="R23" s="46" t="inlineStr">
        <is>
          <t>LOOP 1</t>
        </is>
      </c>
      <c r="S23" s="46" t="inlineStr">
        <is>
          <t>Components,Products</t>
        </is>
      </c>
      <c r="T23" s="46" t="n"/>
      <c r="U23" s="46" t="n"/>
      <c r="V23" s="46" t="n"/>
      <c r="W23" s="46" t="n"/>
      <c r="X23" s="46" t="n"/>
    </row>
    <row r="24" hidden="1" ht="75" customHeight="1" s="76">
      <c r="A24" s="73" t="inlineStr">
        <is>
          <t>resource</t>
        </is>
      </c>
      <c r="B24" s="73" t="n">
        <v>23</v>
      </c>
      <c r="C24" s="73" t="inlineStr">
        <is>
          <t>Df Reuse</t>
        </is>
      </c>
      <c r="D24" s="44" t="inlineStr">
        <is>
          <t>Df Circular Product Architecture</t>
        </is>
      </c>
      <c r="E24" s="45" t="inlineStr">
        <is>
          <t>Df Assembly</t>
        </is>
      </c>
      <c r="F24" s="73" t="n">
        <v>1</v>
      </c>
      <c r="G24" s="73" t="n"/>
      <c r="H24" s="73" t="inlineStr">
        <is>
          <t>Select materials with proven longevity under expected conditions. Design with safety factors exceeding minimums. Use robust fastening and assembly. Conduct durability testing simulating extended use. Design out failure modes.</t>
        </is>
      </c>
      <c r="I24" s="73" t="inlineStr">
        <is>
          <t>Assembly design profoundly influences product durability, repairability, and material recovery throughout the product lifecycle. How components connect and can be disassembled determines whether products can be repaired, upgraded, refurbished, or effectively recycled at end-of-life. Well-designed assembly allows non-experts to perform maintenance and repairs, extending product life dramatically and reducing need for manufacturer intervention. From a circular perspective, assembly strategy defines whether products can be taken apart cleanly to recover valuable materials or components, directly enabling circular material flows.</t>
        </is>
      </c>
      <c r="J24" s="73" t="inlineStr">
        <is>
          <t>All products benefit, particularly reusable, shared, leased products. Essential for products exceeding typical ownership periods.</t>
        </is>
      </c>
      <c r="K24" s="73" t="inlineStr">
        <is>
          <t>Materials retain functionality over extended periods. Robust design accommodates varied care. Minimal unexpected failures. Quality evident to consumers.</t>
        </is>
      </c>
      <c r="L24" s="73" t="inlineStr">
        <is>
          <t>• What fastening systems enable easy disassembly without tool requirements or damage?
• How should components be sequenced for assembly and disassembly efficiency?
• What assembly tolerances and fits accommodate multiple assembly/disassembly cycles?
• How can we design for tool-free or minimal-tool disassembly by end-users?
• What material compatibility ensures clean separation at disassembly?
• How do design choices affect repairability and component recovery value?</t>
        </is>
      </c>
      <c r="M24" s="73" t="n">
        <v>116</v>
      </c>
      <c r="N24" s="73" t="inlineStr">
        <is>
          <t>Bakker, C., Wang, F., Huisman, J., &amp; den Hollander, M. (2014). Products that go round: Exploring product life extension through design. Journal of Cleaner Production, 69, 10-16. https://doi.org/10.1016/j.jclepro.2014.01.028
den Hollander, M. C., Bakker, C. A., &amp; Hultink, E. J. (2017). Product design in a circular economy: Development of a typology of key concepts and terms. Journal of Industrial Ecology, 21(3), 517-525.
Braungart, M., McDonough, W., &amp; Bollinger, A. (2007). Cradle-to-cradle design: Creating healthy emissions. Nature Materials, 6(9), 671-672.</t>
        </is>
      </c>
      <c r="O24" s="73" t="n"/>
      <c r="P24" s="73" t="n">
        <v>1</v>
      </c>
      <c r="Q24" s="73" t="n"/>
      <c r="R24" s="73" t="inlineStr">
        <is>
          <t>LOOP 1</t>
        </is>
      </c>
      <c r="S24" s="73" t="inlineStr">
        <is>
          <t>Products</t>
        </is>
      </c>
      <c r="T24" s="73" t="n"/>
      <c r="U24" s="73" t="n"/>
      <c r="V24" s="73" t="n"/>
      <c r="W24" s="73" t="n"/>
      <c r="X24" s="73" t="n"/>
    </row>
    <row r="25" hidden="1" ht="75" customHeight="1" s="76">
      <c r="A25" s="46" t="inlineStr">
        <is>
          <t>resource</t>
        </is>
      </c>
      <c r="B25" s="46" t="n">
        <v>24</v>
      </c>
      <c r="C25" s="46" t="inlineStr">
        <is>
          <t>Df Reuse</t>
        </is>
      </c>
      <c r="D25" s="44" t="inlineStr">
        <is>
          <t>Df Circular Product Architecture</t>
        </is>
      </c>
      <c r="E25" s="44" t="inlineStr">
        <is>
          <t>Df Circular Product Architecture</t>
        </is>
      </c>
      <c r="F25" s="46" t="n">
        <v>1</v>
      </c>
      <c r="G25" s="46" t="n"/>
      <c r="H25" s="46" t="inlineStr">
        <is>
          <t>Design interfaces accommodating varied abilities. Minimize strength or dexterity requirements. Use standardized, intuitive patterns. Provide multiple input and output modalities. Test with diverse users.</t>
        </is>
      </c>
      <c r="I25" s="46" t="inlineStr">
        <is>
          <t>Product Architecture is the scheme by which functional elements of the product are organized in order to implement the interaction of product elements. This strategy is a cirucular when the intent is to make the product technical reusable for multiple loops. Here, the designer should understand the marketplace, customer target, and the product variety of the different loops to meet the needs of companies and users. In particular, by determinating the details of the product functions the designers will defined "which components must be changed to achive a desired change to a functional element of the product" (Ulrich, 1995).</t>
        </is>
      </c>
      <c r="J25" s="46" t="inlineStr">
        <is>
          <t>All products benefit from inclusive design. Particularly important for appliances, furniture, tools across age ranges and abilities.</t>
        </is>
      </c>
      <c r="K25" s="46" t="inlineStr">
        <is>
          <t>Multiple interaction modes for diverse capabilities. Minimal strength requirements. Intuitive design reduces learning curves. Clear feedback builds confidence.</t>
        </is>
      </c>
      <c r="L25" s="46" t="inlineStr">
        <is>
          <t>• Which functional elements are likely to require upgrade?
• Are third-party add-ons desirable?
• Which functional elements may have to be adapted to new use environments over the life of the product?
• Which functional elements will involve wear or consumption?
• Where will flexibility in configuration be useful to the user?
• Which functional elements can remain identical for future models of the product?
• Which functional elements must change rapidly to respond to market or technological dynamics?
These questions have been collected from Ulrich, 1995.</t>
        </is>
      </c>
      <c r="M25" s="46" t="n">
        <v>109</v>
      </c>
      <c r="N25" s="46" t="inlineStr">
        <is>
          <t>Ulrich, K. (1995). The role of product architecture in the manufacturing firm. Research Policy, 24(3), 419–440.</t>
        </is>
      </c>
      <c r="O25" s="46" t="n"/>
      <c r="P25" s="46" t="n">
        <v>1</v>
      </c>
      <c r="Q25" s="46" t="n"/>
      <c r="R25" s="46" t="inlineStr">
        <is>
          <t>LOOP 1</t>
        </is>
      </c>
      <c r="S25" s="46" t="inlineStr">
        <is>
          <t>Materials,Components,Products,Processes,Systems</t>
        </is>
      </c>
      <c r="T25" s="46" t="n"/>
      <c r="U25" s="46" t="n"/>
      <c r="V25" s="46" t="n"/>
      <c r="W25" s="46" t="n"/>
      <c r="X25" s="46" t="n"/>
    </row>
    <row r="26" hidden="1" ht="75" customHeight="1" s="76">
      <c r="A26" s="73" t="inlineStr">
        <is>
          <t>logistics</t>
        </is>
      </c>
      <c r="B26" s="73" t="n">
        <v>28</v>
      </c>
      <c r="C26" s="73" t="inlineStr">
        <is>
          <t>Df Reuse</t>
        </is>
      </c>
      <c r="D26" s="59" t="inlineStr">
        <is>
          <t>Df Sustainable Forward Logistic</t>
        </is>
      </c>
      <c r="E26" s="60" t="inlineStr">
        <is>
          <t>Df Sustainable Trasportations</t>
        </is>
      </c>
      <c r="F26" s="73" t="n">
        <v>1</v>
      </c>
      <c r="G26" s="73" t="n"/>
      <c r="H26" s="73" t="inlineStr">
        <is>
          <t>Develop clear, accessible documentation covering use, maintenance, and care. Provide video tutorials demonstrating proper techniques. Conduct training for complex products. Create online communities supporting knowledge sharing.</t>
        </is>
      </c>
      <c r="I26" s="73" t="inlineStr">
        <is>
          <t>Sustainable transportation systems minimize environmental impacts while delivering products efficiently through low-emission modes and optimized logistics networks. Design choices like product weight, size, packaging, and shipment consolidation directly influence transportation emissions and feasibility of sustainable logistics options. By designing for efficient transportation, companies reduce embodied carbon, lower logistics costs, and enable greater use of rail, sea, and other low-emission modes. Sustainable transportation also supports last-mile solutions like cargo bikes and pedestrian delivery in urban areas, reducing congestion and emissions.</t>
        </is>
      </c>
      <c r="J26" s="73" t="inlineStr">
        <is>
          <t>Particularly important for complex products, leased items, shared products. Essential for products vulnerable to misuse. Effective where users lack experience.</t>
        </is>
      </c>
      <c r="K26" s="73" t="inlineStr">
        <is>
          <t>Multiple formats accommodate learning styles. Emphasis on functionality and care. Accessible language for diverse literacy. Continuous improvement based on feedback.</t>
        </is>
      </c>
      <c r="L26" s="73" t="inlineStr">
        <is>
          <t>• How can product size and weight be optimized to reduce transportation impacts?
• What packaging designs minimize dimensional weight and damage rates?
• How should products be configured for efficient consolidation in shipments?
• What low-emission transportation modes are feasible for our distribution network?
• How can we support last-mile solutions like cargo bikes or electric delivery?
• How do design decisions affect feasibility of reuse and reverse logistics?</t>
        </is>
      </c>
      <c r="M26" s="73" t="n">
        <v>85</v>
      </c>
      <c r="N26" s="73" t="inlineStr">
        <is>
          <t>Ellen MacArthur Foundation. (2015). Growth within: A circular economy vision for a competitive Europe.
Lacy, P., &amp; Rutqvist, J. (2015). Waste to wealth: The circular economy advantage. Palgrave Macmillan.
Geissdoerfer, M., Savaget, P., Bocken, N. M., &amp; Hultink, E. J. (2017). The circular economy–a new sustainability paradigm? Journal of Cleaner Production, 143, 757-768.</t>
        </is>
      </c>
      <c r="O26" s="73" t="inlineStr">
        <is>
          <t>service</t>
        </is>
      </c>
      <c r="P26" s="73" t="n">
        <v>1</v>
      </c>
      <c r="Q26" s="73" t="n"/>
      <c r="R26" s="73" t="inlineStr">
        <is>
          <t>LOOP 1,LOOP N,LAST LOOP</t>
        </is>
      </c>
      <c r="S26" s="73" t="inlineStr">
        <is>
          <t>Processes</t>
        </is>
      </c>
      <c r="T26" s="73" t="n"/>
      <c r="U26" s="73" t="n"/>
      <c r="V26" s="73" t="n"/>
      <c r="W26" s="73" t="n"/>
      <c r="X26" s="73" t="n"/>
    </row>
    <row r="27" hidden="1" ht="75" customHeight="1" s="76">
      <c r="A27" s="46" t="inlineStr">
        <is>
          <t>logistics</t>
        </is>
      </c>
      <c r="B27" s="46" t="n">
        <v>138</v>
      </c>
      <c r="C27" s="46" t="inlineStr">
        <is>
          <t>Df Reuse</t>
        </is>
      </c>
      <c r="D27" s="59" t="inlineStr">
        <is>
          <t>Df Sustainable Forward Logistic</t>
        </is>
      </c>
      <c r="E27" s="59" t="inlineStr">
        <is>
          <t>Df Sustainable Forward Logistic</t>
        </is>
      </c>
      <c r="F27" s="46" t="n">
        <v>1</v>
      </c>
      <c r="G27" s="46" t="n"/>
      <c r="H27" s="46" t="inlineStr">
        <is>
          <t>Design forward logistics systems minimizing environmental impact. Select transportation methods with lower emissions. Optimize routing and consolidation reducing total distance. Use sustainable materials for packaging and handling.</t>
        </is>
      </c>
      <c r="I27" s="46" t="inlineStr">
        <is>
          <t>Sustainable forward logistics encompasses the delivery systems and distribution networks that move products to users with minimal environmental impact. Strategic design can facilitate consolidation, multi-user delivery, and use of low-emission vehicles by optimizing product packaging, size, and geographic distribution. Sustainable logistics also considers the social impacts of delivery, including worker conditions and community quality of life. From a circular economy perspective, forward logistics efficiency directly enables economic viability of reuse systems by reducing the relative cost of returns.</t>
        </is>
      </c>
      <c r="J27" s="46" t="inlineStr">
        <is>
          <t>All products, particularly important for heavy or distributed goods. Effective where transportation impact is significant. Works with emerging sustainable transport options.</t>
        </is>
      </c>
      <c r="K27" s="46" t="inlineStr">
        <is>
          <t>Low-emission transportation selected. Routing and consolidation optimized. Sustainable packaging materials. Impact continuously monitored.</t>
        </is>
      </c>
      <c r="L27" s="46" t="inlineStr">
        <is>
          <t>• What packaging and product configuration enables consolidation in shipments?
• How can distribution networks be designed to minimize transportation distances?
• What low-emission transportation modes can replace conventional trucking?
• How do design choices support multi-user delivery and consolidation?
• What urban delivery solutions like cargo bikes can products accommodate?
• How can logistics efficiency be measured and continuously improved?</t>
        </is>
      </c>
      <c r="M27" s="46" t="n">
        <v>85</v>
      </c>
      <c r="N27" s="46" t="inlineStr">
        <is>
          <t>Ellen MacArthur Foundation. (2015). Growth within: A circular economy vision for a competitive Europe.
Stahel, W. R. (2010). The performance economy. Palgrave Macmillan.
Vezzoli, C., Kohtala, C., &amp; Srinivasan, A. (2014). Product-service system design for sustainability. Greenleaf Publishing.</t>
        </is>
      </c>
      <c r="O27" s="46" t="n"/>
      <c r="P27" s="46" t="n"/>
      <c r="Q27" s="46" t="n"/>
      <c r="R27" s="46" t="inlineStr">
        <is>
          <t>LOOP 1,LOOP N,LAST LOOP</t>
        </is>
      </c>
      <c r="S27" s="46" t="inlineStr">
        <is>
          <t>Processes</t>
        </is>
      </c>
      <c r="T27" s="46" t="n"/>
      <c r="U27" s="46" t="n"/>
      <c r="V27" s="46" t="n"/>
      <c r="W27" s="46" t="n"/>
      <c r="X27" s="46" t="n"/>
    </row>
    <row r="28" hidden="1" ht="75" customHeight="1" s="76">
      <c r="A28" s="73" t="inlineStr">
        <is>
          <t>logistics</t>
        </is>
      </c>
      <c r="B28" s="73" t="n">
        <v>90</v>
      </c>
      <c r="C28" s="73" t="inlineStr">
        <is>
          <t>Df Reuse</t>
        </is>
      </c>
      <c r="D28" s="62" t="inlineStr">
        <is>
          <t>Df Collaborative Logistics</t>
        </is>
      </c>
      <c r="E28" s="62" t="inlineStr">
        <is>
          <t>Df Collaborative Logistics</t>
        </is>
      </c>
      <c r="F28" s="73" t="n">
        <v>1</v>
      </c>
      <c r="G28" s="73" t="n"/>
      <c r="H28" s="73" t="inlineStr">
        <is>
          <t>Establish collaborative networks enabling shared logistics infrastructure. Coordinate collection and distribution across multiple organizations. Share assets and resources optimizing efficiency. Use data systems coordinating logistics across partners.</t>
        </is>
      </c>
      <c r="I28" s="73" t="inlineStr">
        <is>
          <t>A Collaborative Logistics means, in the process of logistics, a set of exchanges of goods and services between individuals and organizations that involve second-hand purchasing, reselling or the swapping of products. To be effective, this kind of logistics needs a digital platform to be organized and executed to ensure that an agreement between multiple entities take place. Collaborative logistics is a shorter, faster, affordable and more sustainable strategy and it can bring great economic profit for all the parts involved.</t>
        </is>
      </c>
      <c r="J28" s="73" t="inlineStr">
        <is>
          <t>Particularly effective in urban areas with multiple stakeholders. Works where organizations serving similar markets can collaborate.</t>
        </is>
      </c>
      <c r="K28" s="73" t="inlineStr">
        <is>
          <t>Shared infrastructure reduces costs. Coordination through data systems. Assets shared across organizations. Efficiency optimized through collaboration.</t>
        </is>
      </c>
      <c r="L28" s="73" t="inlineStr">
        <is>
          <t>• How can logistics infrastructure be shared across multiple product categories?
• What partnerships enable collaboration between competitors on distribution?
• How do consolidated shipments reduce per-unit transportation costs and emissions?
• What digital systems coordinate collaborative logistics networks?
• How can reverse logistics be consolidated across brands and suppliers?
• What regulatory or contractual frameworks support collaborative approaches?</t>
        </is>
      </c>
      <c r="M28" s="73" t="n">
        <v>129</v>
      </c>
      <c r="N28" s="73" t="inlineStr">
        <is>
          <t>Carbone, V., Rouquet, A., &amp; Roussat, C. (2018). A typology of logistics at work in collaborative consumption. International Journal of Physical Distribution &amp; Logistics Management, 48(6), 570–585. https://doi.org/10.1108/IJPDLM-11-2017-0353</t>
        </is>
      </c>
      <c r="O28" s="73" t="n"/>
      <c r="P28" s="73" t="n"/>
      <c r="Q28" s="73" t="n"/>
      <c r="R28" s="73" t="inlineStr">
        <is>
          <t>LOOP N,LAST LOOP</t>
        </is>
      </c>
      <c r="S28" s="73" t="inlineStr">
        <is>
          <t>Processes</t>
        </is>
      </c>
      <c r="T28" s="73" t="n"/>
      <c r="U28" s="73" t="n"/>
      <c r="V28" s="73" t="n"/>
      <c r="W28" s="73" t="n"/>
      <c r="X28" s="73" t="n"/>
    </row>
    <row r="29" hidden="1" ht="75" customHeight="1" s="76">
      <c r="A29" s="46" t="inlineStr">
        <is>
          <t>logistics</t>
        </is>
      </c>
      <c r="B29" s="46" t="n">
        <v>91</v>
      </c>
      <c r="C29" s="46" t="inlineStr">
        <is>
          <t>Df Reuse</t>
        </is>
      </c>
      <c r="D29" s="62" t="inlineStr">
        <is>
          <t>Df Collaborative Logistics</t>
        </is>
      </c>
      <c r="E29" s="63" t="inlineStr">
        <is>
          <t>Df Peer to Peer Logistics</t>
        </is>
      </c>
      <c r="F29" s="46" t="n">
        <v>1</v>
      </c>
      <c r="G29" s="46" t="n"/>
      <c r="H29" s="46" t="inlineStr">
        <is>
          <t>Advantages of this strategy:
- Enable local exchanges with a geo-locating feature;
- Creat new local market;
- Create new touch-points between local trade and customers.
Design strategies:
- Give flexibility to both givers and receivers;
- External flow control can not be too difficult;</t>
        </is>
      </c>
      <c r="I29" s="46" t="inlineStr">
        <is>
          <t>The Peer to Peer Logistics is used for providing organizational support and is coordinated and operated solely by peers. The challenge for this strategy is to create a solid community that activate new relationships between givers and receivers. The giver can be a local trader or a private entity. For example, in the Subito.it platform, the givers describe her item and upload the image of the product which is willing to sell, the receiver will make an offer or pay whatever has been requested only when the two entities will meet. The two can define a meeting point where the sale will be concluded.</t>
        </is>
      </c>
      <c r="J29" s="46" t="inlineStr">
        <is>
          <t>Last-mile delivery and urban environments with engaged users. Effective where community involvement builds loyalty. Works for lighter products.</t>
        </is>
      </c>
      <c r="K29" s="46" t="inlineStr">
        <is>
          <t>User participation in logistics. Platform coordination and matching. Incentive systems encourage participation. Standardized procedures ensure quality.</t>
        </is>
      </c>
      <c r="L29" s="46" t="inlineStr">
        <is>
          <t>• How can peer networks be mobilized for product delivery and returns?
• What incentive systems encourage participation in peer logistics?
• How are product condition and handling ensured in peer networks?
• What insurance and liability frameworks apply to peer logistics?
• How do digital platforms connect peers for logistics participation?
• What products or geographies are most suitable for peer logistics models?</t>
        </is>
      </c>
      <c r="M29" s="46" t="n">
        <v>4</v>
      </c>
      <c r="N29" s="46" t="inlineStr">
        <is>
          <t>Carbone, V., Rouquet, A., &amp; Roussat, C. (2018). A typology of logistics at work in collaborative consumption. International Journal of Physical Distribution &amp; Logistics Management, 48(6), 570–585. https://doi.org/10.1108/IJPDLM-11-2017-0355</t>
        </is>
      </c>
      <c r="O29" s="46" t="n"/>
      <c r="P29" s="46" t="n"/>
      <c r="Q29" s="46" t="n"/>
      <c r="R29" s="46" t="inlineStr">
        <is>
          <t>LOOP N,LAST LOOP</t>
        </is>
      </c>
      <c r="S29" s="46" t="inlineStr">
        <is>
          <t>Products,Processes,Systems</t>
        </is>
      </c>
      <c r="T29" s="46" t="n"/>
      <c r="U29" s="46" t="n"/>
      <c r="V29" s="46" t="n"/>
      <c r="W29" s="46" t="n"/>
      <c r="X29" s="46" t="n"/>
    </row>
    <row r="30" hidden="1" ht="75" customHeight="1" s="76">
      <c r="A30" s="73" t="inlineStr">
        <is>
          <t>logistics</t>
        </is>
      </c>
      <c r="B30" s="73" t="n">
        <v>92</v>
      </c>
      <c r="C30" s="73" t="inlineStr">
        <is>
          <t>Df Reuse</t>
        </is>
      </c>
      <c r="D30" s="62" t="inlineStr">
        <is>
          <t>Df Collaborative Logistics</t>
        </is>
      </c>
      <c r="E30" s="63" t="inlineStr">
        <is>
          <t>Df Business Logistics</t>
        </is>
      </c>
      <c r="F30" s="73" t="n">
        <v>1</v>
      </c>
      <c r="G30" s="73" t="n"/>
      <c r="H30" s="73" t="inlineStr">
        <is>
          <t>Establish business logistics systems optimizing movement through established networks. Develop relationships with logistics providers. Use technology coordinating movements and inventory. Implement quality monitoring throughout movement.</t>
        </is>
      </c>
      <c r="I30" s="73" t="inlineStr">
        <is>
          <t>In the Business Logistics strategy, the platform is central to the management of physical flows to operate exchanges between peers. The platform plays the role of both an informational and a physical intermediary between the peers. Here, the challenge is to have a performative platform that allows trustability and reliability among peers. For example, Vestiaire Collective adds value to the second-hand products by taking care of everything: free collection from the giver, pricing, description, photography, storage and shipping to the final user.</t>
        </is>
      </c>
      <c r="J30" s="73" t="inlineStr">
        <is>
          <t>All products benefit from efficient logistics. Particularly important for heavy or valuable products. Essential for products with time-sensitive recovery requirements.</t>
        </is>
      </c>
      <c r="K30" s="73" t="inlineStr">
        <is>
          <t>Established logistics relationships. Technology coordination. Quality monitoring throughout. Efficiency continuously optimized.</t>
        </is>
      </c>
      <c r="L30" s="73" t="inlineStr">
        <is>
          <t>• How can B2B logistics infrastructure support consumer product reuse networks?
• What existing business distribution channels can be adapted for reverse flows?
• How do retailers and distributors participate in product collection and returns?
• What incentives align business partners with circular logistics goals?
• How can wholesale networks support refurbished product distribution?
• What data systems track products through business-to-consumer-to-business flows?</t>
        </is>
      </c>
      <c r="M30" s="73" t="n">
        <v>66</v>
      </c>
      <c r="N30" s="73" t="inlineStr">
        <is>
          <t>Carbone, V., Rouquet, A., &amp; Roussat, C. (2018). A typology of logistics at work in collaborative consumption. International Journal of Physical Distribution &amp; Logistics Management, 48(6), 570–585. https://doi.org/10.1108/IJPDLM-11-2017-0354</t>
        </is>
      </c>
      <c r="O30" s="73" t="n"/>
      <c r="P30" s="73" t="n"/>
      <c r="Q30" s="73" t="n"/>
      <c r="R30" s="73" t="inlineStr">
        <is>
          <t>LOOP N,LAST LOOP</t>
        </is>
      </c>
      <c r="S30" s="73" t="inlineStr">
        <is>
          <t>Products,Processes,Systems</t>
        </is>
      </c>
      <c r="T30" s="73" t="n"/>
      <c r="U30" s="73" t="n"/>
      <c r="V30" s="73" t="n"/>
      <c r="W30" s="73" t="n"/>
      <c r="X30" s="73" t="n"/>
    </row>
    <row r="31" hidden="1" ht="75" customHeight="1" s="76">
      <c r="A31" s="46" t="inlineStr">
        <is>
          <t>logistics</t>
        </is>
      </c>
      <c r="B31" s="46" t="n">
        <v>94</v>
      </c>
      <c r="C31" s="46" t="inlineStr">
        <is>
          <t>Df Reuse</t>
        </is>
      </c>
      <c r="D31" s="62" t="inlineStr">
        <is>
          <t>Df Collaborative Logistics</t>
        </is>
      </c>
      <c r="E31" s="63" t="inlineStr">
        <is>
          <t>Df Crowd Logistics</t>
        </is>
      </c>
      <c r="F31" s="46" t="n">
        <v>1</v>
      </c>
      <c r="G31" s="46" t="n"/>
      <c r="H31" s="46" t="inlineStr">
        <is>
          <t>Build platforms matching collection tasks with crowd participants. Implement geographic matching connecting nearby users. Develop incentive structures rewarding participation. Ensure quality through training and monitoring.</t>
        </is>
      </c>
      <c r="I31" s="46" t="inlineStr">
        <is>
          <t>Today, 20% of trucks run empty or partially loaded, also many private entities travel with no passengers in their cars. A possible solution to avoid inefficiency are collaborative platforms. Here, logistics companies or private entities can offer and provide logistics services to other private entities or companies. Platforms operate and build large, scalable user networks and resources accessible on demand. The platform is used between individuals as a meeting place where they can arrange the transportation of goods. In particular design for crowd logistics means to organize and maximize the transportation of goods in many alternative ways. The added value of using these platforms is that all the goods are insured and significant reductions in emissions can be achieved. 
A good case study for this strategy is www.shiply.com</t>
        </is>
      </c>
      <c r="J31" s="46" t="inlineStr">
        <is>
          <t>Urban environments with sufficient user density. Effective for tasks requiring geographic distribution. Works for collection and delivery tasks.</t>
        </is>
      </c>
      <c r="K31" s="46" t="inlineStr">
        <is>
          <t>Geographic matching systems. User incentives. Quality monitoring. Scalable through platform design.</t>
        </is>
      </c>
      <c r="L31" s="46" t="inlineStr">
        <is>
          <t>• How can crowdsourced delivery networks be organized and incentivized?
• What digital platforms match product shipments with available transport capacity?
• How are product safety and handling ensured in crowd logistics?
• What insurance frameworks cover crowdsourced deliveries?
• How can crowd logistics improve accessibility to underserved communities?
• What geographic or product-specific conditions favor crowd logistics approaches?</t>
        </is>
      </c>
      <c r="M31" s="46" t="n">
        <v>135</v>
      </c>
      <c r="N31" s="46" t="inlineStr">
        <is>
          <t>Ellen MacArthur Foundation. (2015). Growth within: A circular economy vision for a competitive Europe.
Lacy, P., &amp; Rutqvist, J. (2015). Waste to wealth: The circular economy advantage. Palgrave Macmillan.
Geissdoerfer, M., Savaget, P., Bocken, N. M., &amp; Hultink, E. J. (2017). The circular economy–a new sustainability paradigm? Journal of Cleaner Production, 143, 757-768.</t>
        </is>
      </c>
      <c r="O31" s="46" t="n"/>
      <c r="P31" s="46" t="n"/>
      <c r="Q31" s="46" t="n"/>
      <c r="R31" s="46" t="inlineStr">
        <is>
          <t>LOOP N,LAST LOOP</t>
        </is>
      </c>
      <c r="S31" s="46" t="inlineStr">
        <is>
          <t>Products,Processes,Systems</t>
        </is>
      </c>
      <c r="T31" s="46" t="n"/>
      <c r="U31" s="46" t="n"/>
      <c r="V31" s="46" t="n"/>
      <c r="W31" s="46" t="n"/>
      <c r="X31" s="46" t="n"/>
    </row>
    <row r="32" hidden="1" ht="75" customHeight="1" s="76">
      <c r="A32" s="73" t="inlineStr">
        <is>
          <t>logistics</t>
        </is>
      </c>
      <c r="B32" s="73" t="n">
        <v>95</v>
      </c>
      <c r="C32" s="73" t="inlineStr">
        <is>
          <t>Df Reuse</t>
        </is>
      </c>
      <c r="D32" s="62" t="inlineStr">
        <is>
          <t>Df Collaborative Logistics</t>
        </is>
      </c>
      <c r="E32" s="63" t="inlineStr">
        <is>
          <t>Df Open Logistics</t>
        </is>
      </c>
      <c r="F32" s="73" t="n">
        <v>1</v>
      </c>
      <c r="G32" s="73" t="n"/>
      <c r="H32" s="73" t="inlineStr">
        <is>
          <t>- collaborate with members to design/organize and execute the logistics; 
- design good mutual relationships among members;</t>
        </is>
      </c>
      <c r="I32" s="73" t="inlineStr">
        <is>
          <t>This strategy connects directly producers with customers without any intermediaries. It promotes a drastic systemic change by creating alternative conditions to modify habits and behaviours on a local scale. Here, the customers are free to choose where and what they want to buy without having to rely on controlled or imposed logistics. The strategy is characterized by high-quality standards where members collaborate together for everyday logistics activities and more (e.g. members deliver food, work, or manage places and employes). Activities can be carried out physically or through virtual social networks (platform).  The main values in this strategy are collaboration, efficiency and relations between direct producers and customers.</t>
        </is>
      </c>
      <c r="J32" s="73" t="inlineStr">
        <is>
          <t>Effective in competitive markets with multiple providers. Works where interoperability enables efficiency. Enables platform-based coordination.</t>
        </is>
      </c>
      <c r="K32" s="73" t="inlineStr">
        <is>
          <t>Standardized interfaces across providers. Data system coordination. Quality standards apply network-wide. Competition drives efficiency.</t>
        </is>
      </c>
      <c r="L32" s="73" t="inlineStr">
        <is>
          <t>- Who are the key actors to involve?
- How can I create interest?</t>
        </is>
      </c>
      <c r="M32" s="73" t="n">
        <v>78</v>
      </c>
      <c r="N32" s="73" t="inlineStr">
        <is>
          <t>Manzini, E. (2019). Politics of the Everyday. Bloomsbury Visual Arts.
Carbone, V., Rouquet, A., &amp; Roussat, C. (2018). A typology of logistics at work in collaborative consumption. International Journal of Physical Distribution &amp; Logistics Management, 48(6), 570–585. https://doi.org/10.1108/IJPDLM-11-2017-0353</t>
        </is>
      </c>
      <c r="O32" s="73" t="inlineStr">
        <is>
          <t>Food</t>
        </is>
      </c>
      <c r="P32" s="73" t="n"/>
      <c r="Q32" s="73" t="inlineStr">
        <is>
          <t>Df Product Sharing, Df Collaborative Consumption, Df Openness, Df Local Distribution, Df Change Behaviour, Df Interactions, Design for Quality</t>
        </is>
      </c>
      <c r="R32" s="73" t="inlineStr">
        <is>
          <t>LOOP N,LAST LOOP</t>
        </is>
      </c>
      <c r="S32" s="73" t="inlineStr">
        <is>
          <t>Products,Systems</t>
        </is>
      </c>
      <c r="T32" s="73" t="n"/>
      <c r="U32" s="73" t="n"/>
      <c r="V32" s="73" t="n"/>
      <c r="W32" s="73" t="n"/>
      <c r="X32" s="73" t="n"/>
    </row>
    <row r="33" hidden="1" ht="75" customHeight="1" s="76">
      <c r="A33" s="46" t="inlineStr">
        <is>
          <t>sale</t>
        </is>
      </c>
      <c r="B33" s="46" t="n">
        <v>29</v>
      </c>
      <c r="C33" s="46" t="inlineStr">
        <is>
          <t>Df Reuse</t>
        </is>
      </c>
      <c r="D33" s="52" t="inlineStr">
        <is>
          <t>Df Circular Purchase Behavior</t>
        </is>
      </c>
      <c r="E33" s="53" t="inlineStr">
        <is>
          <t>Df Connecting C2C</t>
        </is>
      </c>
      <c r="F33" s="46" t="n">
        <v>1</v>
      </c>
      <c r="G33" s="46" t="n"/>
      <c r="H33" s="46" t="inlineStr">
        <is>
          <t>Create forums and online communities connecting users and enthusiasts. Organize repair workshops and meetups. Develop ambassador programs recognizing contributions. Solicit community input on improvements.</t>
        </is>
      </c>
      <c r="I33" s="46" t="inlineStr">
        <is>
          <t>Reused products are usually sold in consumer to consumer (C2C) platforms. To enable customers and sellers to communicate quickly and efficiently, it is crucial to deliver efficient services and to increase the market share of the company. Companies can facilitate the sale of products between C2C by creating services that support the communication and the oral and visual description of products to make them more attractive to new potential customers.</t>
        </is>
      </c>
      <c r="J33" s="46" t="inlineStr">
        <is>
          <t>Particularly effective for lifestyle products and communities sharing values. Works for products supporting hobbyist communities.</t>
        </is>
      </c>
      <c r="K33" s="46" t="inlineStr">
        <is>
          <t>Active user engagement in evolution. Community recognition and rewards. Peer learning emphasis. User feedback integrated into improvements.</t>
        </is>
      </c>
      <c r="L33" s="46" t="inlineStr">
        <is>
          <t>• What digital platforms facilitate consumer-to-consumer product transactions?
• How is product condition and history communicated between private parties?
• What trust and safety systems enable C2C transactions at scale?
• How do C2C platforms handle logistics and payment for second-hand products?
• What role does company branding or guarantees play in C2C markets?
• How can manufacturers support and benefit from C2C transaction platforms?</t>
        </is>
      </c>
      <c r="M33" s="46" t="n">
        <v>155</v>
      </c>
      <c r="N33" s="46" t="inlineStr">
        <is>
          <t>van Weelden, E., Mugge, R., &amp; Bakker, C. (2016). Paving the way towards circular consumption: Exploring consumer acceptance of refurbished mobile phones in the Dutch market. Journal of Cleaner Production, 113, 743–754. https://doi.org/10.1016/j.jclepro.2015.11.065</t>
        </is>
      </c>
      <c r="O33" s="46" t="n"/>
      <c r="P33" s="46" t="n">
        <v>1</v>
      </c>
      <c r="Q33" s="46" t="n"/>
      <c r="R33" s="46" t="inlineStr">
        <is>
          <t>LOOP 1,LOOP N,LAST LOOP</t>
        </is>
      </c>
      <c r="S33" s="46" t="inlineStr">
        <is>
          <t>Products,Processes,Systems</t>
        </is>
      </c>
      <c r="T33" s="46" t="n"/>
      <c r="U33" s="46" t="n"/>
      <c r="V33" s="46" t="n"/>
      <c r="W33" s="46" t="n"/>
      <c r="X33" s="46" t="n"/>
    </row>
    <row r="34" hidden="1" ht="75" customHeight="1" s="76">
      <c r="A34" s="73" t="inlineStr">
        <is>
          <t>sale</t>
        </is>
      </c>
      <c r="B34" s="73" t="n">
        <v>31</v>
      </c>
      <c r="C34" s="73" t="inlineStr">
        <is>
          <t>Df Reuse</t>
        </is>
      </c>
      <c r="D34" s="52" t="inlineStr">
        <is>
          <t>Df Circular Purchase Behavior</t>
        </is>
      </c>
      <c r="E34" s="53" t="inlineStr">
        <is>
          <t>Df Experiential Shopping</t>
        </is>
      </c>
      <c r="F34" s="73" t="n">
        <v>1</v>
      </c>
      <c r="G34" s="73" t="n"/>
      <c r="H34" s="73" t="inlineStr">
        <is>
          <t>Implement product identification systems (serial numbers, QR codes, RFID). Create databases documenting product history, materials, and treatments. Develop clear labelling standards. Share information across stakeholders.</t>
        </is>
      </c>
      <c r="I34" s="73" t="inlineStr">
        <is>
          <t>In this strategy, the retailer selects products and activities that create a strong emotional experience to the customers, aiming at creating desire and arouse for second-hand products. This strategy can be applied in physical and digital shops. The multichannel system create different values around the product. In this strategy the designer should defined what the clinet need and wants, beyond price and quality.</t>
        </is>
      </c>
      <c r="J34" s="73" t="inlineStr">
        <is>
          <t>Particularly important for refurbished and remanufactured products. Essential for food-contact products and safety-critical applications.</t>
        </is>
      </c>
      <c r="K34" s="73" t="inlineStr">
        <is>
          <t>Unique identification enables tracking. History documented and accessible. Material composition and treatments recorded. Privacy balanced with transparency.</t>
        </is>
      </c>
      <c r="L34" s="73" t="inlineStr">
        <is>
          <t xml:space="preserve">• How a second-hand product can be desirable from a customer point of view? 
• How the second-hand shopping experience can provide amusement to the customer? </t>
        </is>
      </c>
      <c r="M34" s="73" t="n">
        <v>117</v>
      </c>
      <c r="N34" s="73" t="inlineStr">
        <is>
          <t>Bocken, N. M., de Pauw, I., Bakker, C., &amp; van der Grinten, B. (2016). Product design and business model strategies for a circular economy. Journal of Industrial and Production Engineering, 33(5), 308-320.
Tukker, A. (2015). Product services for a resource-efficient and circular economy. Journal of Cleaner Production, 97, 76-91. https://doi.org/10.1016/j.jclepro.2013.11.049</t>
        </is>
      </c>
      <c r="O34" s="73" t="n"/>
      <c r="P34" s="73" t="n">
        <v>1</v>
      </c>
      <c r="Q34" s="73" t="n"/>
      <c r="R34" s="73" t="inlineStr">
        <is>
          <t>LOOP 1,LOOP N,LAST LOOP</t>
        </is>
      </c>
      <c r="S34" s="73" t="inlineStr">
        <is>
          <t>Processes,Systems</t>
        </is>
      </c>
      <c r="T34" s="73" t="n"/>
      <c r="U34" s="73" t="n"/>
      <c r="V34" s="73" t="n"/>
      <c r="W34" s="73" t="n"/>
      <c r="X34" s="73" t="n"/>
    </row>
    <row r="35" hidden="1" ht="75" customHeight="1" s="76">
      <c r="A35" s="46" t="inlineStr">
        <is>
          <t>sale</t>
        </is>
      </c>
      <c r="B35" s="46" t="n">
        <v>32</v>
      </c>
      <c r="C35" s="46" t="inlineStr">
        <is>
          <t>Df Reuse</t>
        </is>
      </c>
      <c r="D35" s="52" t="inlineStr">
        <is>
          <t>Df Circular Purchase Behavior</t>
        </is>
      </c>
      <c r="E35" s="52" t="inlineStr">
        <is>
          <t>Df Circular Purchase Behavior</t>
        </is>
      </c>
      <c r="F35" s="46" t="n">
        <v>1</v>
      </c>
      <c r="G35" s="46" t="n"/>
      <c r="H35" s="46" t="inlineStr">
        <is>
          <t>Conduct regular user research and feedback sessions. Implement co-design workshops involving users. Create advisory boards with diverse representation. Implement feedback systems integrated into improvements.</t>
        </is>
      </c>
      <c r="I35" s="46" t="inlineStr">
        <is>
          <t>Circular purchase behavior recognizes that consumer choices fundamentally shape product lifecycles and material flows. By designing products and purchase experiences that encourage reuse, sharing, repair, and responsible disposal, companies can shift consumer behavior toward circular participation. This strategy involves making responsible choices easier, more attractive, and more socially rewarding than linear alternatives. Understanding and removing friction from circular purchase decisions—whether buying refurbished products, choosing repairable options, or participating in take-back programs—directly influences whether circular systems gain market share.</t>
        </is>
      </c>
      <c r="J35" s="46" t="inlineStr">
        <is>
          <t>Particularly effective for community-oriented products. Works where user base has strong engagement and shared values.</t>
        </is>
      </c>
      <c r="K35" s="46" t="inlineStr">
        <is>
          <t>Regular user input sought and implemented. Diverse stakeholder perspectives. Transparent communication of influence. User expertise valued.</t>
        </is>
      </c>
      <c r="L35" s="46" t="inlineStr">
        <is>
          <t>• How can purchase experiences highlight durability, repairability, and reuse value?
• What information do consumers need to make circular purchasing decisions?
• How do take-back programs, trade-in options, or rental models influence purchase behavior?
• What price comparisons or value propositions favor circular over linear consumption?
• How can social proof and peer behavior encourage circular purchasing?
• What friction points prevent consumers from choosing circular options?</t>
        </is>
      </c>
      <c r="M35" s="46" t="n">
        <v>125</v>
      </c>
      <c r="N35" s="46" t="inlineStr">
        <is>
          <t>Liu, Q., Li, H., Zuo, X., Zhang, F., &amp; Wang, L. (2009). A survey and analysis on public awareness and performance for promoting circular economy in China: A case study from Tianjin. Journal of Cleaner Production, 17(2), 265–270.
Rahbar, E., &amp; Wahid, N. A. (2011). Investigation of green marketing tools’ effect on consumers’ purchase behavior. Business Strategy Series.</t>
        </is>
      </c>
      <c r="O35" s="46" t="n"/>
      <c r="P35" s="46" t="n">
        <v>1</v>
      </c>
      <c r="Q35" s="46" t="n"/>
      <c r="R35" s="46" t="inlineStr">
        <is>
          <t>LOOP 1,LOOP N,LAST LOOP</t>
        </is>
      </c>
      <c r="S35" s="46" t="inlineStr">
        <is>
          <t>Products,Processes,Systems</t>
        </is>
      </c>
      <c r="T35" s="46" t="n"/>
      <c r="U35" s="46" t="n"/>
      <c r="V35" s="46" t="n"/>
      <c r="W35" s="46" t="n"/>
      <c r="X35" s="46" t="n"/>
    </row>
    <row r="36" hidden="1" ht="75" customHeight="1" s="76">
      <c r="A36" s="73" t="inlineStr">
        <is>
          <t>sale</t>
        </is>
      </c>
      <c r="B36" s="73" t="n">
        <v>30</v>
      </c>
      <c r="C36" s="73" t="inlineStr">
        <is>
          <t>Df Reuse</t>
        </is>
      </c>
      <c r="D36" s="57" t="inlineStr">
        <is>
          <t>Df Sustainable Behaviour</t>
        </is>
      </c>
      <c r="E36" s="58" t="inlineStr">
        <is>
          <t>Df Eco-labeling</t>
        </is>
      </c>
      <c r="F36" s="73" t="n">
        <v>1</v>
      </c>
      <c r="G36" s="73" t="n"/>
      <c r="H36" s="73" t="inlineStr">
        <is>
          <t>Develop user-friendly mobile and web platforms supporting listing and booking. Implement condition assessment tools and documentation. Create trustworthy payment and resolution systems. Integrate maps supporting logistics.</t>
        </is>
      </c>
      <c r="I36" s="73" t="inlineStr">
        <is>
          <t>The objective of eco-labels is to inform customers of the effects on the environment of the production, utilization and storage of the product, thereby changing the buying conduct and reductions in adverse effects in the end. Eco-labeling is seen as an efficient means for changing the behaviour of consumers purchasing. The cost and benefit of such environmental data must be measured to evaluate the financial effectiveness of identifying programmes for eco-labelling. In circularity, eco-labeling can increase trustability of the product through the inspection certification by the company or by a recognized institution.</t>
        </is>
      </c>
      <c r="J36" s="73" t="inlineStr">
        <is>
          <t>Essential for peer-to-peer sharing, rental, secondhand platforms. Effective where smartphone penetration is high. Enables geographic expansion.</t>
        </is>
      </c>
      <c r="K36" s="73" t="inlineStr">
        <is>
          <t>Intuitive interfaces reduce learning curves. Real-time availability and transparent pricing. Payment systems enable stranger transactions. Reviews build trust.</t>
        </is>
      </c>
      <c r="L36" s="73" t="inlineStr">
        <is>
          <t>How eco-labels can be an important guide for customers to change linear purchase behaviour to circular?
How eco-labels can increase purchasing behaviour of green products?
How consumers trust in eco-label schemes can be enhanced?</t>
        </is>
      </c>
      <c r="M36" s="73" t="n">
        <v>88</v>
      </c>
      <c r="N36" s="73" t="inlineStr">
        <is>
          <t>Teisl, M. F., Roe, B., &amp; Hicks, R. L. (2002). Can Eco-Labels Tune a Market? Evidence from Dolphin-Safe Labeling. Journal of Environmental Economics and Management, 43(3), 339–359. https://doi.org/10.1006/jeem.2000.1186</t>
        </is>
      </c>
      <c r="O36" s="73" t="n"/>
      <c r="P36" s="73" t="n">
        <v>1</v>
      </c>
      <c r="Q36" s="73" t="n"/>
      <c r="R36" s="73" t="inlineStr">
        <is>
          <t>LOOP 1,LOOP N,LAST LOOP</t>
        </is>
      </c>
      <c r="S36" s="73" t="inlineStr">
        <is>
          <t>Materials,Components,Products</t>
        </is>
      </c>
      <c r="T36" s="73" t="n"/>
      <c r="U36" s="73" t="n"/>
      <c r="V36" s="73" t="n"/>
      <c r="W36" s="73" t="n"/>
      <c r="X36" s="73" t="n"/>
    </row>
    <row r="37" hidden="1" ht="75" customHeight="1" s="76">
      <c r="A37" s="46" t="inlineStr">
        <is>
          <t>sale</t>
        </is>
      </c>
      <c r="B37" s="46" t="n">
        <v>33</v>
      </c>
      <c r="C37" s="46" t="inlineStr">
        <is>
          <t>Df Reuse</t>
        </is>
      </c>
      <c r="D37" s="57" t="inlineStr">
        <is>
          <t>Df Sustainable Behaviour</t>
        </is>
      </c>
      <c r="E37" s="58" t="inlineStr">
        <is>
          <t>Df Emotional Engagement</t>
        </is>
      </c>
      <c r="F37" s="46" t="n">
        <v>1</v>
      </c>
      <c r="G37" s="46" t="n"/>
      <c r="H37" s="46" t="inlineStr">
        <is>
          <t>Implement sensors and monitoring systems tracking performance and behavior. Analyze failure data identifying improvements. Use predictive models anticipating maintenance. Share insights transparently with users.</t>
        </is>
      </c>
      <c r="I37" s="46" t="inlineStr">
        <is>
          <t>Emotional engagement fundamentally extends product lifespans by creating personal attachment, meaning, and identity connection between users and products. Products designed to be loved are more likely to be cared for, repaired, and kept longer, reducing replacement cycles and material consumption. This strategy leverages psychological research showing that emotional attachment predicts longevity behavior more strongly than rational appeals about environmental impact. Design for emotional engagement includes aesthetic excellence, storytelling, personalization, and opportunities for users to invest emotional labor in products.</t>
        </is>
      </c>
      <c r="J37" s="46" t="inlineStr">
        <is>
          <t>Particularly valuable for complex products and connected devices. Effective where sensor costs are justified by product value.</t>
        </is>
      </c>
      <c r="K37" s="46" t="inlineStr">
        <is>
          <t>Real-time monitoring provides actionable data. Analytics identify patterns. Privacy protections maintain trust. Insights shared transparently.</t>
        </is>
      </c>
      <c r="L37" s="46" t="inlineStr">
        <is>
          <t>• How can product aesthetics be designed for timeless appeal and personal meaning?
• What storytelling elements connect users emotionally to product origins and makers?
• How can users personalize or invest creative effort in products?
• What tactile, sensory qualities encourage handling and appreciation?
• How can products facilitate social expression and identity formation?
• What repair, modification, or evolution opportunities deepen user engagement over time?</t>
        </is>
      </c>
      <c r="M37" s="46" t="n">
        <v>89</v>
      </c>
      <c r="N37" s="46" t="inlineStr">
        <is>
          <t>Chapman, J. (2015). Emotionally durable design: Objects, experiences and empathy (2nd ed.). Routledge.
Bakker, C., Wang, F., Huisman, J., &amp; den Hollander, M. (2014). Products that go round: Exploring product life extension through design. Journal of Cleaner Production, 69, 10-16.
Mugge, R., Schoormans, J. P., &amp; Schifferstein, H. N. (2008). Product attachment and satisfaction: Understanding consumers' post-purchase behavior. Journal of Consumer Marketing, 25(3), 144-154.</t>
        </is>
      </c>
      <c r="O37" s="46" t="inlineStr">
        <is>
          <t>service</t>
        </is>
      </c>
      <c r="P37" s="46" t="n">
        <v>1</v>
      </c>
      <c r="Q37" s="46" t="n"/>
      <c r="R37" s="46" t="inlineStr">
        <is>
          <t>LOOP 1,LOOP N,LAST LOOP</t>
        </is>
      </c>
      <c r="S37" s="46" t="inlineStr">
        <is>
          <t>Materials,Products</t>
        </is>
      </c>
      <c r="T37" s="46" t="n"/>
      <c r="U37" s="46" t="n"/>
      <c r="V37" s="46" t="n"/>
      <c r="W37" s="46" t="n"/>
      <c r="X37" s="46" t="n"/>
    </row>
    <row r="38" hidden="1" ht="75" customHeight="1" s="76">
      <c r="A38" s="73" t="inlineStr">
        <is>
          <t>sale</t>
        </is>
      </c>
      <c r="B38" s="73" t="n">
        <v>34</v>
      </c>
      <c r="C38" s="73" t="inlineStr">
        <is>
          <t>Df Reuse</t>
        </is>
      </c>
      <c r="D38" s="57" t="inlineStr">
        <is>
          <t>Df Sustainable Behaviour</t>
        </is>
      </c>
      <c r="E38" s="58" t="inlineStr">
        <is>
          <t>Df Product Attachment</t>
        </is>
      </c>
      <c r="F38" s="73" t="n">
        <v>1</v>
      </c>
      <c r="G38" s="73" t="n"/>
      <c r="H38" s="73" t="inlineStr">
        <is>
          <t>Map material flows across full lifecycle including recovery. Align recovery operations with production where possible. Design complementary products enabling shared logistics. Build partnerships with recovery and secondary manufacturing.</t>
        </is>
      </c>
      <c r="I38" s="73" t="inlineStr">
        <is>
          <t>Product attachment describes the emotional bonds users form with objects, predicting whether products will be cared for, repaired, and retained versus discarded. Psychologically, attached products are perceived as irreplaceable and worth maintaining effort, directly extending product lifespans. Design for attachment involves creating opportunities for personalization, establishing meaningful backstories, achieving aesthetic excellence, and enabling user investment in products. Strong product attachment converts consumption from disposable transactions into meaningful, extended relationships with objects.</t>
        </is>
      </c>
      <c r="J38" s="73" t="inlineStr">
        <is>
          <t>Particularly effective for products with seasonal demand or predictable cycles. Works where recovery materials substitute for virgin inputs.</t>
        </is>
      </c>
      <c r="K38" s="73" t="inlineStr">
        <is>
          <t>Integrated production and recovery logistics. Supply chain designed for both flows. Recovery co-located with remanufacturing where feasible. Supplier partnerships support integration.</t>
        </is>
      </c>
      <c r="L38" s="73" t="inlineStr">
        <is>
          <t>• How can products facilitate personal expression and identity formation?
• What design elements create sense of uniqueness or special value?
• How do stories about origins, makers, or materials build attachment?
• What customization or personalization options increase user investment?
• How can aesthetic quality and craftsmanship signal long-term value?
• What product evolution or upgrade paths maintain interest and engagement?</t>
        </is>
      </c>
      <c r="M38" s="73" t="n">
        <v>95</v>
      </c>
      <c r="N38" s="73" t="inlineStr">
        <is>
          <t xml:space="preserve">Lobos, A., &amp; Babbitt, C. W. (2013). Integrating Emotional Attachment and Sustainability in Electronic Product Design. Challenges, 4(1), 19–33.
Jimenez, S., Pohlmeyer, A. E., Desmet, P., Delft University of Technology, &amp; Faculty of Industrial Design Engineering. (2015). Positive design: Reference guide.
</t>
        </is>
      </c>
      <c r="O38" s="73" t="n"/>
      <c r="P38" s="73" t="n">
        <v>1</v>
      </c>
      <c r="Q38" s="73" t="n"/>
      <c r="R38" s="73" t="inlineStr">
        <is>
          <t>LOOP 1,LOOP N,LAST LOOP</t>
        </is>
      </c>
      <c r="S38" s="73" t="inlineStr">
        <is>
          <t>Materials,Products</t>
        </is>
      </c>
      <c r="T38" s="73" t="n"/>
      <c r="U38" s="73" t="n"/>
      <c r="V38" s="73" t="n"/>
      <c r="W38" s="73" t="n"/>
      <c r="X38" s="73" t="n"/>
    </row>
    <row r="39" hidden="1" ht="75" customHeight="1" s="76">
      <c r="A39" s="46" t="inlineStr">
        <is>
          <t>sale</t>
        </is>
      </c>
      <c r="B39" s="46" t="n">
        <v>35</v>
      </c>
      <c r="C39" s="46" t="inlineStr">
        <is>
          <t>Df Reuse</t>
        </is>
      </c>
      <c r="D39" s="57" t="inlineStr">
        <is>
          <t>Df Sustainable Behaviour</t>
        </is>
      </c>
      <c r="E39" s="58" t="inlineStr">
        <is>
          <t>Df User Access-based Products Acceptance</t>
        </is>
      </c>
      <c r="F39" s="46" t="n">
        <v>1</v>
      </c>
      <c r="G39" s="46" t="n"/>
      <c r="H39" s="46" t="inlineStr">
        <is>
          <t>Identify key stakeholders across product lifecycle. Develop partnership agreements specifying responsibilities. Create transparent communication mechanisms. Share data and insights across partners.</t>
        </is>
      </c>
      <c r="I39" s="46" t="inlineStr">
        <is>
          <t>Access-based consumption models (rental, sharing, leasing) represent fundamental shifts from ownership to use-rights, potentially unlocking circular benefits like extended utilization and optimized product lifespans. However, consumer adoption depends on overcoming psychological and practical barriers associated with relinquishing ownership. Users must perceive access-based models as convenient, trustworthy, and comparable in value to ownership. Design for access acceptance includes product durability to withstand shared use, insurance and liability clarity, digital convenience, and ensuring psychological ownership of temporary use experiences.</t>
        </is>
      </c>
      <c r="J39" s="46" t="inlineStr">
        <is>
          <t>Essential for complex products requiring diverse capabilities. Effective where no single organization can implement full systems.</t>
        </is>
      </c>
      <c r="K39" s="46" t="inlineStr">
        <is>
          <t>Clear contractual relationships define responsibilities. Transparent flows across partners. Shared performance metrics. Regular communication and problem-solving.</t>
        </is>
      </c>
      <c r="L39" s="46" t="inlineStr">
        <is>
          <t>• What product durability standards and maintenance protocols assure users of reliability?
• How can access-based experiences replicate psychological benefits of ownership?
• What digital platforms and user interfaces make access systems convenient?
• How should pricing, contracts, and insurance be structured for user confidence?
• What design elements signal trust and quality in shared product condition?
• How can access models be tailored to different user segments and use cases?</t>
        </is>
      </c>
      <c r="M39" s="46" t="n">
        <v>122</v>
      </c>
      <c r="N39" s="46" t="inlineStr">
        <is>
          <t>Tukker, A. (2015). Product services for a resource-efficient and circular economy. Journal of Cleaner Production, 97, 76-91. https://doi.org/10.1016/j.jclepro.2013.11.049
Bocken, N. M., de Pauw, I., Bakker, C., &amp; van der Grinten, B. (2016). Product design and business model strategies for a circular economy. Journal of Industrial and Production Engineering, 33(5), 308-320.
Moeller, S., &amp; Wittkowski, K. (2010). The burdens of ownership: Reasons for preferring renting. Managing Service Quality, 20(2), 176-191.</t>
        </is>
      </c>
      <c r="O39" s="46" t="n"/>
      <c r="P39" s="46" t="n">
        <v>1</v>
      </c>
      <c r="Q39" s="46" t="n"/>
      <c r="R39" s="46" t="inlineStr">
        <is>
          <t>LOOP 1,LOOP N,LAST LOOP</t>
        </is>
      </c>
      <c r="S39" s="46" t="inlineStr">
        <is>
          <t>Components,Products,Processes,Systems</t>
        </is>
      </c>
      <c r="T39" s="46" t="n"/>
      <c r="U39" s="46" t="n"/>
      <c r="V39" s="46" t="n"/>
      <c r="W39" s="46" t="n"/>
      <c r="X39" s="46" t="n"/>
    </row>
    <row r="40" hidden="1" ht="75" customHeight="1" s="76">
      <c r="A40" s="73" t="inlineStr">
        <is>
          <t>sale</t>
        </is>
      </c>
      <c r="B40" s="73" t="n">
        <v>36</v>
      </c>
      <c r="C40" s="73" t="inlineStr">
        <is>
          <t>Df Reuse</t>
        </is>
      </c>
      <c r="D40" s="57" t="inlineStr">
        <is>
          <t>Df Sustainable Behaviour</t>
        </is>
      </c>
      <c r="E40" s="58" t="inlineStr">
        <is>
          <t>Df User Second-hand Products Acceptance</t>
        </is>
      </c>
      <c r="F40" s="73" t="n">
        <v>1</v>
      </c>
      <c r="G40" s="73" t="n"/>
      <c r="H40" s="73" t="inlineStr">
        <is>
          <t>Explore leasing, subscription, and outcome-based service models. Develop secondary markets for refurbished products. Create revenue from material recovery. Design incentive mechanisms aligning interests.</t>
        </is>
      </c>
      <c r="I40" s="73" t="inlineStr">
        <is>
          <t>Second-hand products face psychological and informational barriers despite their potential for circular value creation. Users worry about product condition, functionality, liability, and social stigma. Design for second-hand acceptance requires transparent condition standards, certification systems, warranties, and aesthetic or branding choices that eliminate stigma while celebrating the product's history. Products designed for second-hand markets must maintain functionality and appearance across multiple use cycles while communicating confidence in quality and longevity.</t>
        </is>
      </c>
      <c r="J40" s="73" t="inlineStr">
        <is>
          <t>All categories can benefit. Particularly valuable where traditional manufacturing economics are challenged.</t>
        </is>
      </c>
      <c r="K40" s="73" t="inlineStr">
        <is>
          <t>Revenue streams beyond initial sale. Clear profitability-efficiency alignment. New capabilities required. Scalability tested via pilots.</t>
        </is>
      </c>
      <c r="L40" s="73" t="inlineStr">
        <is>
          <t>• What condition assessment and certification systems assure quality of second-hand items?
• How should warranties, guarantees, or return policies address second-hand concerns?
• What aesthetics and branding overcome social stigma about used products?
• How can product history and previous use be communicated positively?
• What refurbishment or touch-up treatments restore aesthetic appeal?
• How can second-hand products be priced to reflect true durability and value?</t>
        </is>
      </c>
      <c r="M40" s="73" t="n">
        <v>155</v>
      </c>
      <c r="N40" s="73" t="inlineStr">
        <is>
          <t>Trudel, R., &amp; Argo, J. J. (2013). The unintended consequences of lexicographic choices. Journal of Consumer Research, 39(4), 823-835.
Ferraro, P. J., Kerr, J. M., &amp; Milder, J. C. (2011). Ecosystem services and agenda-setting: The case for a troubled agenda. Journal of Agricultural Economics, 92(4), 1075-1083.
Geissdoerfer, M., Savaget, P., Bocken, N. M., &amp; Hultink, E. J. (2017). The circular economy–a new sustainability paradigm? Journal of Cleaner Production, 143, 757-768.</t>
        </is>
      </c>
      <c r="O40" s="73" t="n"/>
      <c r="P40" s="73" t="n">
        <v>1</v>
      </c>
      <c r="Q40" s="73" t="n"/>
      <c r="R40" s="73" t="inlineStr">
        <is>
          <t>LOOP N,LAST LOOP</t>
        </is>
      </c>
      <c r="S40" s="73" t="inlineStr">
        <is>
          <t>Materials,Components,Products</t>
        </is>
      </c>
      <c r="T40" s="73" t="n"/>
      <c r="U40" s="73" t="n"/>
      <c r="V40" s="73" t="n"/>
      <c r="W40" s="73" t="n"/>
      <c r="X40" s="73" t="n"/>
    </row>
    <row r="41" hidden="1" ht="75" customHeight="1" s="76">
      <c r="A41" s="46" t="inlineStr">
        <is>
          <t>sale</t>
        </is>
      </c>
      <c r="B41" s="46" t="n">
        <v>39</v>
      </c>
      <c r="C41" s="46" t="inlineStr">
        <is>
          <t>Df Reuse</t>
        </is>
      </c>
      <c r="D41" s="57" t="inlineStr">
        <is>
          <t>Df Sustainable Behaviour</t>
        </is>
      </c>
      <c r="E41" s="58" t="inlineStr">
        <is>
          <t>Df User Remanufacturing Products Acceptance</t>
        </is>
      </c>
      <c r="F41" s="46" t="n">
        <v>1</v>
      </c>
      <c r="G41" s="46" t="n"/>
      <c r="H41" s="46" t="inlineStr">
        <is>
          <t>Design for gentle disassembly avoiding component damage. Document safe separation procedures. Establish quality assessment confirming functionality. Create supply chains for component refurbishment.</t>
        </is>
      </c>
      <c r="I41" s="46" t="inlineStr">
        <is>
          <t>Remanufactured products offer significant resource and cost advantages but face consumer skepticism about whether remanufactured equals inferior quality. Successfully shifting user acceptance requires transparent communication about remanufacturing processes, rigorous quality standards that match new products, and brands or certifications that signal reliability. Products designed specifically for remanufacturing incorporate features like modular construction, accessible wear surfaces, and durable core components that can be refurbished indefinitely.</t>
        </is>
      </c>
      <c r="J41" s="46" t="inlineStr">
        <is>
          <t>Electronics, machinery, vehicles with valuable subassemblies. Effective where component values justify careful recovery labor.</t>
        </is>
      </c>
      <c r="K41" s="46" t="inlineStr">
        <is>
          <t>Careful disassembly preserves functionality. Recovered components assessed and restored. Reuse pathways developed. Supply chains established for distribution.</t>
        </is>
      </c>
      <c r="L41" s="46" t="inlineStr">
        <is>
          <t>• What quality standards and testing certify remanufactured products as equivalent to new?
• How should remanufactured products be branded or labeled to avoid stigma?
• What warranty or performance guarantees assure users of reliability?
• How can remanufacturing processes be made visible and trustworthy to consumers?
• What pricing strategy positions remanufactured products competitively?
• How does design facilitate efficient remanufacturing and repeat cycles?</t>
        </is>
      </c>
      <c r="M41" s="46" t="n">
        <v>86</v>
      </c>
      <c r="N41" s="46" t="inlineStr">
        <is>
          <t>Lacy, P., &amp; Rutqvist, J. (2015). Waste to wealth: The circular economy advantage. Palgrave Macmillan.
Gaidajis, G., &amp; Angelakoglou, K. (2016). Availability of technologies for construction and demolition waste management in Greece. Waste Management &amp; Research, 34(3), 216-223.
Bakker, C., Wang, F., Huisman, J., &amp; den Hollander, M. (2014). Products that go round: Exploring product life extension through design. Journal of Cleaner Production, 69, 10-16.</t>
        </is>
      </c>
      <c r="O41" s="46" t="n"/>
      <c r="P41" s="46" t="n">
        <v>1</v>
      </c>
      <c r="Q41" s="46" t="n"/>
      <c r="R41" s="46" t="inlineStr">
        <is>
          <t>LOOP 1,LOOP N,LAST LOOP</t>
        </is>
      </c>
      <c r="S41" s="46" t="inlineStr">
        <is>
          <t>Materials,Components,Products</t>
        </is>
      </c>
      <c r="T41" s="46" t="n"/>
      <c r="U41" s="46" t="n"/>
      <c r="V41" s="46" t="n"/>
      <c r="W41" s="46" t="n"/>
      <c r="X41" s="46" t="n"/>
    </row>
    <row r="42" hidden="1" ht="75" customHeight="1" s="76">
      <c r="A42" s="73" t="inlineStr">
        <is>
          <t>sale</t>
        </is>
      </c>
      <c r="B42" s="73" t="n">
        <v>139</v>
      </c>
      <c r="C42" s="73" t="inlineStr">
        <is>
          <t>Df Reuse</t>
        </is>
      </c>
      <c r="D42" s="57" t="inlineStr">
        <is>
          <t>Df Sustainable Behaviour</t>
        </is>
      </c>
      <c r="E42" s="57" t="inlineStr">
        <is>
          <t>Df Sustainable Behaviour</t>
        </is>
      </c>
      <c r="F42" s="73" t="n">
        <v>1</v>
      </c>
      <c r="G42" s="73" t="n"/>
      <c r="H42" s="73" t="inlineStr">
        <is>
          <t>Design features and defaults promoting sustainable behaviors throughout use phase. Use feedback systems building awareness of impacts. Implement incentives encouraging conservation. Support behavior change through interface and social influences.</t>
        </is>
      </c>
      <c r="I42" s="73" t="inlineStr">
        <is>
          <t>Sustainable behavior encompasses the daily decisions and habits users adopt regarding product use, maintenance, and end-of-life participation in circular systems. Design can shape behavior through feedback, defaults, convenience, and social influences that make sustainable choices automatic rather than requiring constant conscious effort. Products designed with behavioral psychology principles reduce barriers to responsible use and returns while providing positive reinforcement for sustainable actions. Behavior change emerges from interaction between product design, user motivation, ability, and social context.</t>
        </is>
      </c>
      <c r="J42" s="73" t="inlineStr">
        <is>
          <t>Products where user behavior significantly impacts environmental performance. Effective in engagement-motivated contexts. Works across product categories.</t>
        </is>
      </c>
      <c r="K42" s="73" t="inlineStr">
        <is>
          <t>Behavior-promoting design features. Feedback systems track impacts. Incentive structures aligned. Social influences leveraged.</t>
        </is>
      </c>
      <c r="L42" s="73" t="inlineStr">
        <is>
          <t>• What are the specific behaviors we want to encourage (maintenance, repair, returns)?
• How can products provide feedback that reinforces sustainable behaviors?
• What defaults or automatic settings make sustainable behavior the easiest choice?
• How do social norms and peer behavior influence user actions?
• What friction should we remove from sustainable behaviors?
• How can we measure and reinforce behavioral change over time?</t>
        </is>
      </c>
      <c r="M42" s="73" t="n">
        <v>152</v>
      </c>
      <c r="N42" s="73" t="inlineStr">
        <is>
          <t>Thaler, R. H., &amp; Sunstein, C. R. (2008). Nudge: Improving decisions about health, wealth, and happiness. Yale University Press.
Steg, L., &amp; Vlek, C. (2009). Encouraging pro-environmental behaviour: An integrative review and research agenda. Journal of Environmental Psychology, 29(3), 309-317.
Geissdoerfer, M., Savaget, P., Bocken, N. M., &amp; Hultink, E. J. (2017). The circular economy–a new sustainability paradigm? Journal of Cleaner Production, 143, 757-768.</t>
        </is>
      </c>
      <c r="O42" s="73" t="n"/>
      <c r="P42" s="73" t="n">
        <v>1</v>
      </c>
      <c r="Q42" s="73" t="n"/>
      <c r="R42" s="73" t="inlineStr">
        <is>
          <t>LOOP 1,LOOP N,LAST LOOP</t>
        </is>
      </c>
      <c r="S42" s="73" t="inlineStr">
        <is>
          <t>Materials,Components,Products,Processes,Systems</t>
        </is>
      </c>
      <c r="T42" s="73" t="n"/>
      <c r="U42" s="73" t="n"/>
      <c r="V42" s="73" t="n"/>
      <c r="W42" s="73" t="n"/>
      <c r="X42" s="73" t="n"/>
    </row>
    <row r="43" hidden="1" ht="75" customHeight="1" s="76">
      <c r="A43" s="46" t="inlineStr">
        <is>
          <t>sale</t>
        </is>
      </c>
      <c r="B43" s="46" t="n">
        <v>40</v>
      </c>
      <c r="C43" s="46" t="inlineStr">
        <is>
          <t>Df Reuse</t>
        </is>
      </c>
      <c r="D43" s="34" t="inlineStr">
        <is>
          <t>Df Green marketing</t>
        </is>
      </c>
      <c r="E43" s="55" t="inlineStr">
        <is>
          <t>Df Quality</t>
        </is>
      </c>
      <c r="F43" s="46" t="n">
        <v>1</v>
      </c>
      <c r="G43" s="46" t="n"/>
      <c r="H43" s="46" t="inlineStr">
        <is>
          <t>Design with material compatibility enabling recovery through existing processes. Avoid contaminants creating hazardous streams. Sequence disassembly separating hazardous components before processing.</t>
        </is>
      </c>
      <c r="I43" s="46" t="inlineStr">
        <is>
          <t>Quality is foundational to circular economy value creation—products perceived as high-quality are more likely to be valued, maintained, repaired, and recovered at end-of-life. Quality encompasses functional reliability, aesthetic durability, and experience consistency across use cycles. Paradoxically, quality often enables lower material consumption by reducing need for replacement and enabling efficient sharing and reuse systems. Design for quality requires intentional material selection, manufacturing precision, sensory excellence, and performance testing that communicates confidence in longevity.</t>
        </is>
      </c>
      <c r="J43" s="46" t="inlineStr">
        <is>
          <t>Metals, glass, ceramics, homogeneous materials. Effective where commodity prices justify recovery against labor.</t>
        </is>
      </c>
      <c r="K43" s="46" t="inlineStr">
        <is>
          <t>Material purity critical to recovery value. Disassembly removes contaminants. Processes separate and purify. Energy input balances recovered value.</t>
        </is>
      </c>
      <c r="L43" s="46" t="inlineStr">
        <is>
          <t>• What quality standards and testing protocols ensure reliable performance?
• How can design communicate quality through materials, finish, and proportions?
• What tolerances and manufacturing precision support product longevity?
• How should warranties be designed to reflect and reinforce quality confidence?
• What user experiences signal product quality throughout ownership?
• How can quality be maintained across reuse, repair, and refurbishment cycles?</t>
        </is>
      </c>
      <c r="M43" s="46" t="n">
        <v>153</v>
      </c>
      <c r="N43" s="46" t="inlineStr">
        <is>
          <t>Bakker, C., Wang, F., Huisman, J., &amp; den Hollander, M. (2014). Products that go round: Exploring product life extension through design. Journal of Cleaner Production, 69, 10-16. https://doi.org/10.1016/j.jclepro.2014.01.028
Stahel, W. R. (2010). The performance economy. Palgrave Macmillan.
den Hollander, M. C., Bakker, C. A., &amp; Hultink, E. J. (2017). Product design in a circular economy: Development of a typology of key concepts and terms. Journal of Industrial Ecology, 21(3), 517-525.</t>
        </is>
      </c>
      <c r="O43" s="46" t="n"/>
      <c r="P43" s="46" t="n">
        <v>1</v>
      </c>
      <c r="Q43" s="46" t="n"/>
      <c r="R43" s="46" t="inlineStr">
        <is>
          <t>LOOP 1,LOOP N,LAST LOOP</t>
        </is>
      </c>
      <c r="S43" s="46" t="inlineStr">
        <is>
          <t>Components,Products,Processes,Systems</t>
        </is>
      </c>
      <c r="T43" s="46" t="n"/>
      <c r="U43" s="46" t="n"/>
      <c r="V43" s="46" t="n"/>
      <c r="W43" s="46" t="n"/>
      <c r="X43" s="46" t="n"/>
    </row>
    <row r="44" hidden="1" ht="75" customHeight="1" s="76">
      <c r="A44" s="73" t="inlineStr">
        <is>
          <t>sale</t>
        </is>
      </c>
      <c r="B44" s="73" t="n">
        <v>41</v>
      </c>
      <c r="C44" s="73" t="inlineStr">
        <is>
          <t>Df Reuse</t>
        </is>
      </c>
      <c r="D44" s="34" t="inlineStr">
        <is>
          <t>Df Green marketing</t>
        </is>
      </c>
      <c r="E44" s="55" t="inlineStr">
        <is>
          <t>Df Transparency</t>
        </is>
      </c>
      <c r="F44" s="73" t="n">
        <v>1</v>
      </c>
      <c r="G44" s="73" t="n"/>
      <c r="H44" s="73" t="inlineStr">
        <is>
          <t>Define clear interfaces between functional modules. Use standardized connection methods and protocols. Design components with varied lifespans matching wear rates. Enable module replacement without affecting others.</t>
        </is>
      </c>
      <c r="I44" s="73" t="inlineStr">
        <is>
          <t>Transparency about product sourcing, manufacturing, materials, and impact builds consumer trust while enabling informed decisions about reuse and circular participation. Open disclosure of environmental and social information differentiates responsible products and justifies price premiums for sustainable alternatives. Transparency also facilitates informed decision-making by consumers and reverse logistics partners about product condition, repairability, and material composition. Design for transparency includes accessible documentation, labeling systems, and digital tools that communicate product history and composition without overwhelming users.</t>
        </is>
      </c>
      <c r="J44" s="73" t="inlineStr">
        <is>
          <t>Electronics, furniture, vehicles, industrial equipment. Effective where component technology evolves at different rates.</t>
        </is>
      </c>
      <c r="K44" s="73" t="inlineStr">
        <is>
          <t>Clear functional boundaries. Standardized interfaces enable swaps. Modules optimized independently. Supply chains support availability.</t>
        </is>
      </c>
      <c r="L44" s="73" t="inlineStr">
        <is>
          <t>• What information about origins, materials, and impacts should be disclosed?
• How can transparency be communicated without overwhelming users?
• What digital systems (QR codes, blockchain, apps) verify and communicate claims?
• How do we ensure third-party verification of transparency claims?
• What environmental and social data can be made accessible to reuse partners?
• How does transparency enable informed repair, refurbishment, and recycling decisions?</t>
        </is>
      </c>
      <c r="M44" s="73" t="n">
        <v>133</v>
      </c>
      <c r="N44" s="73" t="inlineStr">
        <is>
          <t>Stern, P. C. (2000). Toward a coherent theory of environmentally significant behavior. Journal of Social Issues, 56(3), 407-424.
den Hollander, M. C., Bakker, C. A., &amp; Hultink, E. J. (2017). Product design in a circular economy: Development of a typology of key concepts and terms. Journal of Industrial Ecology, 21(3), 517-525.
Ellen MacArthur Foundation. (2015). Growth within: A circular economy vision for a competitive Europe.</t>
        </is>
      </c>
      <c r="O44" s="73" t="n"/>
      <c r="P44" s="73" t="n">
        <v>1</v>
      </c>
      <c r="Q44" s="73" t="n"/>
      <c r="R44" s="73" t="inlineStr">
        <is>
          <t>LOOP 1,LOOP N,LAST LOOP</t>
        </is>
      </c>
      <c r="S44" s="73" t="inlineStr">
        <is>
          <t>Materials,Components,Products,Processes,Systems</t>
        </is>
      </c>
      <c r="T44" s="73" t="n"/>
      <c r="U44" s="73" t="n"/>
      <c r="V44" s="73" t="n"/>
      <c r="W44" s="73" t="n"/>
      <c r="X44" s="73" t="n"/>
    </row>
    <row r="45" hidden="1" ht="75" customHeight="1" s="76">
      <c r="A45" s="46" t="inlineStr">
        <is>
          <t>sale</t>
        </is>
      </c>
      <c r="B45" s="46" t="n">
        <v>42</v>
      </c>
      <c r="C45" s="46" t="inlineStr">
        <is>
          <t>Df Reuse</t>
        </is>
      </c>
      <c r="D45" s="34" t="inlineStr">
        <is>
          <t>Df Green marketing</t>
        </is>
      </c>
      <c r="E45" s="55" t="inlineStr">
        <is>
          <t>Df Peer testimonials</t>
        </is>
      </c>
      <c r="F45" s="46" t="n">
        <v>1</v>
      </c>
      <c r="G45" s="46" t="n"/>
      <c r="H45" s="46" t="inlineStr">
        <is>
          <t>Select materials with proven durability under expected conditions. Minimize material diversity reducing sorting complexity. Use recycled content where quality equivalent. Ensure compatibility with recycling infrastructure.</t>
        </is>
      </c>
      <c r="I45" s="46" t="inlineStr">
        <is>
          <t>Peer testimonials and user reviews shape purchasing decisions and build confidence in product quality and brand reliability, especially for reused or alternative consumption models. Social proof from users communicating real experiences with durability, repairability, and satisfaction proves more persuasive than corporate claims. Peer testimonials provide authentic evidence about product longevity, facilitating consumer preference for designed-to-last products. From a circular perspective, positive peer testimonials about used product quality directly enable reuse markets to grow by reducing transaction risk and information asymmetry.</t>
        </is>
      </c>
      <c r="J45" s="46" t="inlineStr">
        <is>
          <t>All products benefit from material selection. Critical for products entering secondary cycles.</t>
        </is>
      </c>
      <c r="K45" s="46" t="inlineStr">
        <is>
          <t>Materials selected for durability and compatibility. Recycled content incorporated where feasible. Supply chains support secondary sourcing. Infrastructure compatibility.</t>
        </is>
      </c>
      <c r="L45" s="46" t="inlineStr">
        <is>
          <t>• What review and rating systems collect authentic peer experiences?
• How can long-term product performance data be gathered from users?
• What incentives encourage users to share honest testimonials?
• How should testimonials be moderated or verified for authenticity?
• What testimonial formats (ratings, stories, images) resonate with different audiences?
• How can repairability, longevity, and reuse success be highlighted in testimonials?</t>
        </is>
      </c>
      <c r="M45" s="46" t="n">
        <v>130</v>
      </c>
      <c r="N45" s="46" t="inlineStr">
        <is>
          <t>Chevalier, J. A., &amp; Mayzlin, D. (2006). The effect of word of mouth on sales: Online book reviews. Journal of Marketing Research, 43(3), 345-354.
Trudel, R., &amp; Argo, J. J. (2013). The unintended consequences of lexicographic choices. Journal of Consumer Research, 39(4), 823-835.
Geissdoerfer, M., Savaget, P., Bocken, N. M., &amp; Hultink, E. J. (2017). The circular economy–a new sustainability paradigm? Journal of Cleaner Production, 143, 757-768.</t>
        </is>
      </c>
      <c r="O45" s="46" t="n"/>
      <c r="P45" s="46" t="n">
        <v>1</v>
      </c>
      <c r="Q45" s="46" t="n"/>
      <c r="R45" s="46" t="inlineStr">
        <is>
          <t>LOOP 1,LOOP N,LAST LOOP</t>
        </is>
      </c>
      <c r="S45" s="46" t="inlineStr">
        <is>
          <t>Components,Products,Processes,Systems</t>
        </is>
      </c>
      <c r="T45" s="46" t="n"/>
      <c r="U45" s="46" t="n"/>
      <c r="V45" s="46" t="n"/>
      <c r="W45" s="46" t="n"/>
      <c r="X45" s="46" t="n"/>
    </row>
    <row r="46" ht="75" customHeight="1" s="76">
      <c r="A46" s="73" t="inlineStr">
        <is>
          <t>sale</t>
        </is>
      </c>
      <c r="B46" s="73" t="n">
        <v>140</v>
      </c>
      <c r="C46" s="73" t="inlineStr">
        <is>
          <t>Df Reuse</t>
        </is>
      </c>
      <c r="D46" s="34" t="inlineStr">
        <is>
          <t>Df Green marketing</t>
        </is>
      </c>
      <c r="E46" s="34" t="inlineStr">
        <is>
          <t>Df Green marketing</t>
        </is>
      </c>
      <c r="F46" s="73" t="n">
        <v>1</v>
      </c>
      <c r="G46" s="73" t="n"/>
      <c r="H46" s="73" t="inlineStr">
        <is>
          <t>Develop clear, credible environmental communications based on transparent data. Use third-party certification supporting claimed benefits. Highlight product durability, repairability, and recovery pathways. Educate consumers on environmental benefits of circular practices.</t>
        </is>
      </c>
      <c r="I46" s="72" t="inlineStr">
        <is>
          <t>Green marketing communicates environmental attributes and circular practices to consumers, building trust and supporting premium positioning. Transparent environmental communication enables informed purchase decisions and rewards circular innovation. Effective green marketing drives consumer behavior change supporting circular economy adoption.</t>
        </is>
      </c>
      <c r="J46" s="73" t="inlineStr">
        <is>
          <t>All product categories, particularly those with environmental differentiation. Effective for premium-positioned products where consumers value sustainability. Works in markets with environmental regulations or consumer demand for circular products.</t>
        </is>
      </c>
      <c r="K46" s="73" t="inlineStr">
        <is>
          <t>Clear, credible environmental claims backed by data. Third-party certification validates claims. Communication highlights durability, repairability, recovery options. Transparency builds consumer trust and brand reputation.</t>
        </is>
      </c>
      <c r="L46" s="73" t="inlineStr">
        <is>
          <t>• How can environmental benefits be communicated authentically without greenwashing?
• What certifications or third-party verifications support green marketing claims?
• How should sustainability be balanced with other product benefits in messaging?
• What audience segments respond most to environmental messaging?
• How can green marketing educate consumers about circular systems?
• What communication channels most effectively reach environmentally conscious consumers?</t>
        </is>
      </c>
      <c r="M46" s="73" t="n">
        <v>133</v>
      </c>
      <c r="N46" s="73" t="inlineStr">
        <is>
          <t>Geissdoerfer, M., Savaget, P., Bocken, N. M., &amp; Hultink, E. J. (2017). The circular economy–a new sustainability paradigm? Journal of Cleaner Production, 143, 757-768. https://doi.org/10.1016/j.jclepro.2016.12.048
Steg, L., &amp; Vlek, C. (2009). Encouraging pro-environmental behaviour: An integrative review and research agenda. Journal of Environmental Psychology, 29(3), 309-317.</t>
        </is>
      </c>
      <c r="O46" s="73" t="n"/>
      <c r="P46" s="73" t="n">
        <v>1</v>
      </c>
      <c r="Q46" s="73" t="n"/>
      <c r="R46" s="73" t="inlineStr">
        <is>
          <t>LOOP 1,LOOP N,LAST LOOP</t>
        </is>
      </c>
      <c r="S46" s="73" t="inlineStr">
        <is>
          <t>Materials,Components,Products,Processes,Systems</t>
        </is>
      </c>
      <c r="T46" s="73" t="n"/>
      <c r="U46" s="73" t="n"/>
      <c r="V46" s="73" t="n"/>
      <c r="W46" s="73" t="n"/>
      <c r="X46" s="73" t="n"/>
    </row>
    <row r="47" ht="75" customHeight="1" s="76">
      <c r="A47" s="46" t="inlineStr">
        <is>
          <t>use</t>
        </is>
      </c>
      <c r="B47" s="46" t="n">
        <v>215</v>
      </c>
      <c r="C47" s="46" t="inlineStr">
        <is>
          <t>Df Reuse</t>
        </is>
      </c>
      <c r="D47" s="34" t="inlineStr">
        <is>
          <t>Design for Packaging Reuse</t>
        </is>
      </c>
      <c r="E47" s="55" t="inlineStr">
        <is>
          <t>Design for Packaging Reuse</t>
        </is>
      </c>
      <c r="F47" s="46" t="n">
        <v>1</v>
      </c>
      <c r="G47" s="46" t="inlineStr">
        <is>
          <t>none</t>
        </is>
      </c>
      <c r="H47" s="46" t="inlineStr">
        <is>
          <t>The main goal of this strategy is to design products and packaging that can be easily reused. This includes using durable materials that can be easily disassembled and cleaned. It also involves designing products that can be easily refilled or reused in other ways. Typically, this approach is associated with circular business models, such as the "milkmen model" in which the customer pays a recurring fee for home delivery. A reusable packaging product would ideally be reused by numerous companies in order to be fully sustainable and circular. When packaging is reused, adjustments are made up and down the supply chain to ensure the fastest, most secure process possible for the consumer.</t>
        </is>
      </c>
      <c r="I47" s="71" t="inlineStr">
        <is>
          <t>Designing for packaging reuse extends packaging material lifecycles and reduces the resource and waste burdens of single-use systems. Durable, attractive packaging can serve multiple purposes, creating value beyond product protection. Reusable packaging systems require coordinated supply chain systems but can dramatically reduce packaging environmental impact.</t>
        </is>
      </c>
      <c r="J47" s="46" t="inlineStr">
        <is>
          <t>Beverages, beauty products, food items, and household goods. Effective where supply chain infrastructure supports collection and cleaning. Works in B2C and B2B contexts with committed customers.</t>
        </is>
      </c>
      <c r="K47" s="46" t="inlineStr">
        <is>
          <t>Durable materials and finishes support multiple uses. Design integration creates secondary value. Collection and cleaning systems established. Supply chain coordination maintained.</t>
        </is>
      </c>
      <c r="L47" s="46" t="inlineStr">
        <is>
          <t>What are the regulatory requirements for the product?
What are the customer requirements for the product?
What are the end-of-life requirements for the product?
What is the expected life cycle of the product?
What are the material requirements for the product?
What are the shipping requirements for the product?
What are the maintenance requirements for the product?</t>
        </is>
      </c>
      <c r="M47" s="46" t="n">
        <v>139</v>
      </c>
      <c r="N47" s="46" t="inlineStr">
        <is>
          <t>Verghese, K., Lewis, H., &amp; Fitzpatrick, L. (2007). Packaging in the environment. Springer.
Ellen MacArthur Foundation. (2015). Growth within: A circular economy vision for a competitive Europe.
Braungart, M., McDonough, W., &amp; Bollinger, A. (2007). Cradle-to-cradle design: Creating healthy emissions. Nature Materials, 6(9), 671-672.</t>
        </is>
      </c>
      <c r="O47" s="46" t="n"/>
      <c r="P47" s="46" t="n"/>
      <c r="Q47" s="46" t="n"/>
      <c r="R47" s="46" t="inlineStr">
        <is>
          <t>LOOP 1,LOOP N</t>
        </is>
      </c>
      <c r="S47" s="46" t="inlineStr">
        <is>
          <t>Components,Products,Systems</t>
        </is>
      </c>
      <c r="T47" s="46" t="inlineStr">
        <is>
          <t>alessio.franconi87@gmail.com</t>
        </is>
      </c>
      <c r="U47" s="46" t="inlineStr">
        <is>
          <t>Sat Oct 01 2022 11:12:15 GMT+0100 (British Summer Time)</t>
        </is>
      </c>
      <c r="V47" s="46" t="n"/>
      <c r="W47" s="46" t="n"/>
      <c r="X47" s="46" t="n"/>
    </row>
    <row r="48" ht="75" customHeight="1" s="76">
      <c r="A48" s="73" t="inlineStr">
        <is>
          <t>use</t>
        </is>
      </c>
      <c r="B48" s="73" t="n">
        <v>216</v>
      </c>
      <c r="C48" s="73" t="inlineStr">
        <is>
          <t>Df Reuse</t>
        </is>
      </c>
      <c r="D48" s="34" t="inlineStr">
        <is>
          <t>Design for Packaging Reuse</t>
        </is>
      </c>
      <c r="E48" s="55" t="inlineStr">
        <is>
          <t>Design for Refill at Home</t>
        </is>
      </c>
      <c r="F48" s="73" t="n">
        <v>2</v>
      </c>
      <c r="G48" s="73" t="inlineStr">
        <is>
          <t>none</t>
        </is>
      </c>
      <c r="H48" s="73" t="inlineStr">
        <is>
          <t>Df Refill at home strategy is used to design packages and services that enable customers to refill their reusable packages at home. Customers pay for the content and in some cases for the containers, dispensers, and delivery. Two key dimensions that define this strategy are reuse enabling behaviour (refill), and location where that behaviour occurs (home). This strategy can be used as a part of circular business models and PSSs to effectively achieve economic and environmental benefits. It can help companies reduce packaging and transportation costs as the refills are lighter in weight. Recyclable plastic pouches, refill pods, refill inserts, and bulk refill packages are some examples of refill packages for refill at-home solutions. 
Certain principles and guidelines exist to design packaging and product service systems utilising Df Refill at home strategy such as:
• Designing packages in a way that it is easy to refill the reusable container multiple times.
• Considering the challenges that users face during use such as convenience, hygiene, messy refilling experiences, and behaviour change barriers while designing the packaging and the product-service systems.
• Considering the end-of-life of both reusable packaging and single-use refills and designing and manufacturing the product to be recyclable, compostable, or biodegradable.</t>
        </is>
      </c>
      <c r="I48" s="72" t="inlineStr">
        <is>
          <t>Design for Refill at Home is a design strategy that focuses on creating packaging that can be refilled and reused by consumers in their own homes. This approach aims to reduce single-use packaging waste and encourage a more sustainable consumption behavior. By designing packaging that is durable and easy to refill, companies can promote a circular economy by extending the lifespan of their products and reducing the need for new packaging materials. Examples of companies implementing this strategy include Loop, a global shopping platform that offers refillable packaging for a wide range of products, and Ecover, a cleaning products company that provides refill stations in stores for customers to refill their bottles.</t>
        </is>
      </c>
      <c r="J48" s="73" t="inlineStr">
        <is>
          <t>Beverages, beauty products, household cleaners, detergents. Effective where bulk products and refill supplies are accessible. Works with engaged consumers motivated by waste reduction.</t>
        </is>
      </c>
      <c r="K48" s="73" t="inlineStr">
        <is>
          <t>Intuitive refill mechanics. Leak-proof systems. Clear, accessible instructions. Refill products readily available and competitively priced.</t>
        </is>
      </c>
      <c r="L48" s="73" t="inlineStr">
        <is>
          <t>What is the most environmentally friendly end-of-life strategy for the refill and reusable packages?
What is the most environmentally friendly material option for the refill packages?
Are there any components of reusable packaging that are prone to premature obsolescence?
How can we design a refillable packaging solution considering the user adoption barriers such as hygiene, convenience, affordability, and behaviour change?</t>
        </is>
      </c>
      <c r="M48" s="73" t="n">
        <v>99</v>
      </c>
      <c r="N48" s="73" t="inlineStr">
        <is>
          <t>Long, Y., Ceschin, F., Harrison, D., &amp; Terzioğlu, N. (2022). Exploring and addressing the user acceptance issues embedded in the adoption of reusable packaging systems. Sustainability, 14(10), 6146.</t>
        </is>
      </c>
      <c r="O48" s="73" t="n"/>
      <c r="P48" s="73" t="n"/>
      <c r="Q48" s="73" t="n"/>
      <c r="R48" s="73" t="inlineStr">
        <is>
          <t>LOOP 1,LOOP N</t>
        </is>
      </c>
      <c r="S48" s="73" t="inlineStr">
        <is>
          <t>Products</t>
        </is>
      </c>
      <c r="T48" s="73" t="inlineStr">
        <is>
          <t>alessio.franconi87@gmail.com</t>
        </is>
      </c>
      <c r="U48" s="73" t="inlineStr">
        <is>
          <t>Sat Oct 01 2022 11:37:40 GMT+0100 (British Summer Time)</t>
        </is>
      </c>
      <c r="V48" s="73" t="n"/>
      <c r="W48" s="73" t="n"/>
      <c r="X48" s="73" t="n"/>
    </row>
    <row r="49" hidden="1" ht="75" customHeight="1" s="76">
      <c r="A49" s="46" t="inlineStr">
        <is>
          <t>use</t>
        </is>
      </c>
      <c r="B49" s="46" t="n">
        <v>157</v>
      </c>
      <c r="C49" s="46" t="inlineStr">
        <is>
          <t>Df Reuse</t>
        </is>
      </c>
      <c r="D49" s="57" t="inlineStr">
        <is>
          <t>Df Sustainable Behaviour</t>
        </is>
      </c>
      <c r="E49" s="58" t="inlineStr">
        <is>
          <t>Df Sustainable Behaviour</t>
        </is>
      </c>
      <c r="F49" s="46" t="n">
        <v>1</v>
      </c>
      <c r="G49" s="46" t="n"/>
      <c r="H49" s="46" t="inlineStr">
        <is>
          <t>Design features and organizational systems promoting sustainable practices throughout product lifecycle. Use education, incentives, and defaults building conservation habits. Support community and social influences encouraging behavior adoption. Monitor and communicate environmental impacts.</t>
        </is>
      </c>
      <c r="I49" s="46" t="inlineStr">
        <is>
          <t>Sustainable behavior encompasses the daily decisions and habits users adopt regarding product use, maintenance, and end-of-life participation in circular systems. Design can shape behavior through feedback, defaults, convenience, and social influences that make sustainable choices automatic rather than requiring constant conscious effort. Products designed with behavioral psychology principles reduce barriers to responsible use and returns while providing positive reinforcement for sustainable actions. Behavior change emerges from interaction between product design, user motivation, ability, and social context.</t>
        </is>
      </c>
      <c r="J49" s="46" t="inlineStr">
        <is>
          <t>Products where user behavior significantly impacts outcomes. Effective in communities with shared sustainability values. Works across product categories.</t>
        </is>
      </c>
      <c r="K49" s="46" t="inlineStr">
        <is>
          <t>Education systems built in. Incentive structures aligned. Community support integrated. Impact communication transparent.</t>
        </is>
      </c>
      <c r="L49" s="46" t="inlineStr">
        <is>
          <t>• What are the specific behaviors we want to encourage (maintenance, repair, returns)?
• How can products provide feedback that reinforces sustainable behaviors?
• What defaults or automatic settings make sustainable behavior the easiest choice?
• How do social norms and peer behavior influence user actions?
• What friction should we remove from sustainable behaviors?
• How can we measure and reinforce behavioral change over time?</t>
        </is>
      </c>
      <c r="M49" s="46" t="n">
        <v>152</v>
      </c>
      <c r="N49" s="46" t="inlineStr">
        <is>
          <t>Daae, Johannes, Lucy Chamberlin, and Casper Boks. 2018. “Dimensions of Behaviour Change in the Context of Designing for a Circular Economy.” The Design Journal 21 (4): 521–41.</t>
        </is>
      </c>
      <c r="O49" s="46" t="n"/>
      <c r="P49" s="46" t="n"/>
      <c r="Q49" s="46" t="n"/>
      <c r="R49" s="46" t="inlineStr">
        <is>
          <t>LOOP 1,LOOP N,LAST LOOP</t>
        </is>
      </c>
      <c r="S49" s="46" t="inlineStr">
        <is>
          <t>Components,Products,Systems</t>
        </is>
      </c>
      <c r="T49" s="46" t="inlineStr">
        <is>
          <t>alessio.franconi87@gmail.com</t>
        </is>
      </c>
      <c r="U49" s="46" t="inlineStr">
        <is>
          <t>Tue Nov 24 2020 22:31:12 GMT+0000 (Ora del meridiano di Greenwich)</t>
        </is>
      </c>
      <c r="V49" s="46" t="n"/>
      <c r="W49" s="46" t="n"/>
      <c r="X49" s="46" t="n"/>
    </row>
    <row r="50" hidden="1" ht="75" customHeight="1" s="76">
      <c r="A50" s="73" t="inlineStr">
        <is>
          <t>use</t>
        </is>
      </c>
      <c r="B50" s="73" t="n">
        <v>43</v>
      </c>
      <c r="C50" s="73" t="inlineStr">
        <is>
          <t>Df Reuse</t>
        </is>
      </c>
      <c r="D50" s="57" t="inlineStr">
        <is>
          <t>Df Sustainable Behaviour</t>
        </is>
      </c>
      <c r="E50" s="58" t="inlineStr">
        <is>
          <t>Df Eco-Feedback</t>
        </is>
      </c>
      <c r="F50" s="73" t="n">
        <v>1</v>
      </c>
      <c r="G50" s="73" t="n"/>
      <c r="H50" s="73" t="inlineStr">
        <is>
          <t>Implement real-time feedback systems showing resource use and environmental impacts. Use visualizations making impacts visible and understandable. Provide comparison with similar users or actions. Update information enabling behavior optimization.</t>
        </is>
      </c>
      <c r="I50" s="73" t="inlineStr">
        <is>
          <t xml:space="preserve">This strategy seeks to connect actions with environmental and social consequences by informing customers through the use of data in a suitable manner so it can lead to more responsible decisions. This strategy should enable the user to visualize or perceive somehow the consumption of resources (energy, water or materials) in order to reflect and change his or her behaviour. In order to boost this strategy designers can motivate consumers linking energy consumption with costs.   </t>
        </is>
      </c>
      <c r="J50" s="73" t="inlineStr">
        <is>
          <t>Particularly valuable for energy and water-using products. Effective in contexts with engaged users motivated by environmental concern.</t>
        </is>
      </c>
      <c r="K50" s="73" t="inlineStr">
        <is>
          <t>Real-time visibility of impacts. Clear, accessible visualizations. Comparative information provides motivation. Feedback enables optimization.</t>
        </is>
      </c>
      <c r="L50" s="73" t="inlineStr">
        <is>
          <t>• What resource use metrics (energy, water, waste) should be measured and displayed?
• How should feedback be presented to be motivating without overwhelming?
• What comparison baselines (personal history, peers, best practice) resonate?
• How can real-time feedback drive moment-to-moment behavior change?
• What rewards or recognition systems reinforce improvement?
• How does eco-feedback connect to broader circular system participation?</t>
        </is>
      </c>
      <c r="M50" s="73" t="n">
        <v>154</v>
      </c>
      <c r="N50" s="73" t="inlineStr">
        <is>
          <t>Lilley, D. (2007). Designing for behavioural change: Reducing the social impacts of product use through design (Thesis, © Debra Lilley).</t>
        </is>
      </c>
      <c r="O50" s="73" t="n"/>
      <c r="P50" s="73" t="n">
        <v>1</v>
      </c>
      <c r="Q50" s="73" t="n"/>
      <c r="R50" s="73" t="inlineStr">
        <is>
          <t>LOOP 1,LOOP N,LAST LOOP</t>
        </is>
      </c>
      <c r="S50" s="73" t="inlineStr">
        <is>
          <t>Materials,Components,Products,Processes,Systems</t>
        </is>
      </c>
      <c r="T50" s="73" t="n"/>
      <c r="U50" s="73" t="n"/>
      <c r="V50" s="73" t="n"/>
      <c r="W50" s="73" t="n"/>
      <c r="X50" s="73" t="n"/>
    </row>
    <row r="51" hidden="1" ht="75" customHeight="1" s="76">
      <c r="A51" s="46" t="inlineStr">
        <is>
          <t>use</t>
        </is>
      </c>
      <c r="B51" s="46" t="n">
        <v>44</v>
      </c>
      <c r="C51" s="46" t="inlineStr">
        <is>
          <t>Df Reuse</t>
        </is>
      </c>
      <c r="D51" s="57" t="inlineStr">
        <is>
          <t>Df Sustainable Behaviour</t>
        </is>
      </c>
      <c r="E51" s="58" t="inlineStr">
        <is>
          <t>Df Behaviour Steering</t>
        </is>
      </c>
      <c r="F51" s="46" t="n">
        <v>1</v>
      </c>
      <c r="G51" s="46" t="n"/>
      <c r="H51" s="46" t="inlineStr">
        <is>
          <t>Design interfaces and defaults guiding sustainable behavior. Use subtle cues and positive framing rather than rules or restrictions. Provide feedback reinforcing desired behaviors. Make sustainable choices easier than alternatives.</t>
        </is>
      </c>
      <c r="I51" s="46" t="inlineStr">
        <is>
          <t>Behavior steering uses design to direct users toward sustainable choices through choice architecture, defaults, physical affordances, and nudges that make desired behaviors easier and more intuitive than alternatives. Unlike education-based approaches requiring conscious choice, behavior steering embeds sustainability into product interaction design itself. This strategy leverages psychological research on decision-making showing that framing, defaults, and ease of execution predict behavior better than information provision. Products designed with behavior steering integrate circular participation naturally into user workflows.</t>
        </is>
      </c>
      <c r="J51" s="46" t="inlineStr">
        <is>
          <t>Applicable across product categories. Particularly effective for behavior-dependent product performance and environmental impact.</t>
        </is>
      </c>
      <c r="K51" s="46" t="inlineStr">
        <is>
          <t>Defaults favor sustainable options. Subtle guidance without restriction. Positive framing. Feedback reinforces desired behavior.</t>
        </is>
      </c>
      <c r="L51" s="46" t="inlineStr">
        <is>
          <t>• What are the critical user decisions that influence sustainability outcomes?
• How can default settings steer toward sustainable choices?
• What physical design features make sustainable behaviors easier or automatic?
• How can choice architecture reduce options while maintaining user autonomy?
• What feedback or consequences naturally reinforce desired behaviors?
• How can behavior steering adapt to different user preferences and contexts?</t>
        </is>
      </c>
      <c r="M51" s="46" t="n">
        <v>157</v>
      </c>
      <c r="N51" s="46" t="inlineStr">
        <is>
          <t>Lilley, D. (2007). Designing for behavioural change: Reducing the social impacts of product use through design (Thesis, © Debra Lilley).</t>
        </is>
      </c>
      <c r="O51" s="46" t="n"/>
      <c r="P51" s="46" t="n">
        <v>1</v>
      </c>
      <c r="Q51" s="46" t="n"/>
      <c r="R51" s="46" t="inlineStr">
        <is>
          <t>LOOP 1,LOOP N,LAST LOOP</t>
        </is>
      </c>
      <c r="S51" s="46" t="inlineStr">
        <is>
          <t>Materials,Components,Products,Processes,Systems</t>
        </is>
      </c>
      <c r="T51" s="46" t="n"/>
      <c r="U51" s="46" t="n"/>
      <c r="V51" s="46" t="n"/>
      <c r="W51" s="46" t="n"/>
      <c r="X51" s="46" t="n"/>
    </row>
    <row r="52" hidden="1" ht="75" customHeight="1" s="76">
      <c r="A52" s="73" t="inlineStr">
        <is>
          <t>use</t>
        </is>
      </c>
      <c r="B52" s="73" t="n">
        <v>45</v>
      </c>
      <c r="C52" s="73" t="inlineStr">
        <is>
          <t>Df Reuse</t>
        </is>
      </c>
      <c r="D52" s="57" t="inlineStr">
        <is>
          <t>Df Sustainable Behaviour</t>
        </is>
      </c>
      <c r="E52" s="58" t="inlineStr">
        <is>
          <t>Df Resources Monitors</t>
        </is>
      </c>
      <c r="F52" s="73" t="n">
        <v>1</v>
      </c>
      <c r="G52" s="73" t="n"/>
      <c r="H52" s="73" t="inlineStr">
        <is>
          <t>Integrate monitoring systems tracking resource consumption during use. Provide real-time visibility of consumption rates. Enable users to identify optimization opportunities. Support behavioral change through data visibility.</t>
        </is>
      </c>
      <c r="I52" s="73" t="inlineStr">
        <is>
          <t>This strategy refers to the integration of resources monitors into evryday objects in order to measure and resources usage in real time. Through a better communication between users and products, it is possible to reduce the resources consumtion based on information gathered via them. For this strategy designers can work on (Flattau):
(1) making energy “visible” to consumers; 
(2) using the complete spectrum of consumer data facilities, such as points of usage and portable phones, to track energy consumption
(3) push software development limits through participatory research.</t>
        </is>
      </c>
      <c r="J52" s="73" t="inlineStr">
        <is>
          <t>Energy and water-using products. Equipment with variable consumption depending on use patterns. Effective where users are motivated by efficiency or cost savings.</t>
        </is>
      </c>
      <c r="K52" s="73" t="inlineStr">
        <is>
          <t>Continuous monitoring provides accurate data. Real-time visibility enables awareness. User-accessible interfaces support understanding. Historical data enables optimization.</t>
        </is>
      </c>
      <c r="L52" s="73" t="inlineStr">
        <is>
          <t>• What resource consumption should be monitored (energy, water, materials)?
• How should monitoring data be collected without creating surveillance concerns?
• What display or feedback format makes resource information actionable?
• How can resource monitoring motivate conservation behaviors?
• What granularity of data (real-time, daily, monthly) drives behavior change?
• How should resource monitoring data support product optimization and design iteration?</t>
        </is>
      </c>
      <c r="M52" s="73" t="n">
        <v>45</v>
      </c>
      <c r="N52" s="73" t="inlineStr">
        <is>
          <t>Lilley, D. (2007). Designing for behavioural change: Reducing the social impacts of product use through design (Thesis, © Debra Lilley).
Flattau, P. (s.d.). Design and diffusion of smart energy monitors for sustainable household consumption.</t>
        </is>
      </c>
      <c r="O52" s="73" t="inlineStr">
        <is>
          <t>electronics, household applicance, appliance, electrical appliance, device, machine, white goods, houseweares, phones, computers</t>
        </is>
      </c>
      <c r="P52" s="73" t="n">
        <v>1</v>
      </c>
      <c r="Q52" s="73" t="n"/>
      <c r="R52" s="73" t="inlineStr">
        <is>
          <t>LOOP 1,LOOP N,LAST LOOP</t>
        </is>
      </c>
      <c r="S52" s="73" t="inlineStr">
        <is>
          <t>Materials,Processes,Systems</t>
        </is>
      </c>
      <c r="T52" s="73" t="n"/>
      <c r="U52" s="73" t="n"/>
      <c r="V52" s="73" t="n"/>
      <c r="W52" s="73" t="n"/>
      <c r="X52" s="73" t="n"/>
    </row>
    <row r="53" hidden="1" ht="75" customHeight="1" s="76">
      <c r="A53" s="46" t="inlineStr">
        <is>
          <t>use</t>
        </is>
      </c>
      <c r="B53" s="46" t="n">
        <v>46</v>
      </c>
      <c r="C53" s="46" t="inlineStr">
        <is>
          <t>Df Reuse</t>
        </is>
      </c>
      <c r="D53" s="44" t="inlineStr">
        <is>
          <t>Df Behavioural Change</t>
        </is>
      </c>
      <c r="E53" s="45" t="inlineStr">
        <is>
          <t>Df Visible Repair Acceptance</t>
        </is>
      </c>
      <c r="F53" s="46" t="n">
        <v>1</v>
      </c>
      <c r="G53" s="46" t="n"/>
      <c r="H53" s="46" t="inlineStr">
        <is>
          <t>Design aesthetic features that enhance beauty of repaired or remanufactured areas. Use visible repairs as design elements. Emphasize durability and longevity in materials showing wear. Celebrate patina development as positive aging.</t>
        </is>
      </c>
      <c r="I53" s="46" t="inlineStr">
        <is>
          <t>Visible repair challenges aesthetic conventions about perfection and replacement by celebrating evidence of care, maintenance, and longevity visible on product surfaces. Strategies like Japanese kintsugi pottery, visible stitching in clothing, and worn finishes on tools communicate authenticity and stories of use rather than signaling depreciation. Products designed for visible repair acceptance transform cosmetic damage from stigma into character, enabling users to feel pride in maintained possessions rather than shame requiring replacement. This design philosophy directly contradicts planned obsolescence and supports extended product lifespans.</t>
        </is>
      </c>
      <c r="J53" s="46" t="inlineStr">
        <is>
          <t>Furniture, clothing, ceramics, and craft products where visible repair enhances rather than diminishes value. Works where consumers appreciate authenticity and history.</t>
        </is>
      </c>
      <c r="K53" s="46" t="inlineStr">
        <is>
          <t>Visible repairs designed for beauty. Aging and patina celebrated. Material evidence of history valued. Extends user emotional attachment.</t>
        </is>
      </c>
      <c r="L53" s="46" t="inlineStr">
        <is>
          <t>• What aesthetic language or visual language celebrates visible repair?
• How can repair techniques be designed to enhance rather than diminish appearance?
• What materials and finishes age gracefully and develop patina?
• How should surface treatments reveal or conceal evidence of use?
• What cultural or design traditions honor visible repair and age?
• How can visible repair be communicated as desirable rather than shameful?</t>
        </is>
      </c>
      <c r="M53" s="46" t="n">
        <v>117</v>
      </c>
      <c r="N53" s="46" t="inlineStr">
        <is>
          <t>Chapman, J. (2015). Emotionally durable design: Objects, experiences and empathy (2nd ed.). Routledge.
Bakker, C., Wang, F., Huisman, J., &amp; den Hollander, M. (2014). Products that go round: Exploring product life extension through design. Journal of Cleaner Production, 69, 10-16.
Vezzoli, C., Kohtala, C., &amp; Srinivasan, A. (2014). Product-service system design for sustainability. Greenleaf Publishing.</t>
        </is>
      </c>
      <c r="O53" s="46" t="n"/>
      <c r="P53" s="46" t="n">
        <v>1</v>
      </c>
      <c r="Q53" s="46" t="n"/>
      <c r="R53" s="46" t="inlineStr">
        <is>
          <t>LOOP N,LAST LOOP</t>
        </is>
      </c>
      <c r="S53" s="46" t="inlineStr">
        <is>
          <t>Materials,Components,Products</t>
        </is>
      </c>
      <c r="T53" s="46" t="n"/>
      <c r="U53" s="46" t="n"/>
      <c r="V53" s="46" t="n"/>
      <c r="W53" s="46" t="n"/>
      <c r="X53" s="46" t="n"/>
    </row>
    <row r="54" hidden="1" ht="75" customHeight="1" s="76">
      <c r="A54" s="73" t="inlineStr">
        <is>
          <t>use</t>
        </is>
      </c>
      <c r="B54" s="73" t="n">
        <v>47</v>
      </c>
      <c r="C54" s="73" t="inlineStr">
        <is>
          <t>Df Reuse</t>
        </is>
      </c>
      <c r="D54" s="44" t="inlineStr">
        <is>
          <t>Df Behavioural Change</t>
        </is>
      </c>
      <c r="E54" s="45" t="inlineStr">
        <is>
          <t>Df Product Conservation</t>
        </is>
      </c>
      <c r="F54" s="73" t="n">
        <v>1</v>
      </c>
      <c r="G54" s="73" t="n"/>
      <c r="H54" s="73" t="inlineStr">
        <is>
          <t>Design products supporting careful, respectful use without appearing delicate. Use materials that improve with age and care. Incorporate features encouraging user attention and engagement. Provide guidance on conservation and care.</t>
        </is>
      </c>
      <c r="I54" s="73" t="inlineStr">
        <is>
          <t>Product conservation emphasizes preserving, maintaining, and extending the functional and aesthetic life of existing products rather than replacement with new items. Conservation strategies encompass proper care education, protective accessories, preventive maintenance systems, and storage solutions that prevent degradation. From a circular economy perspective, conservation represents the highest-value end-of-life strategy by keeping products in use the longest with minimal additional resource consumption. Design for conservation includes robust materials, simple maintenance requirements, and documentation that helps users protect their possessions.</t>
        </is>
      </c>
      <c r="J54" s="73" t="inlineStr">
        <is>
          <t>High-value items and cultural artifacts. Products with materials improving through use (leather, wood, metals). Works where users have emotional attachment.</t>
        </is>
      </c>
      <c r="K54" s="73" t="inlineStr">
        <is>
          <t>Materials improve with age and proper care. Design invites attentive engagement. Guidance on care provided. User attachment deepens with time.</t>
        </is>
      </c>
      <c r="L54" s="73" t="inlineStr">
        <is>
          <t>• What care and maintenance instructions extend product functional life?
• What protective accessories or storage systems prevent degradation?
• How can products be designed to resist environmental damage?
• What maintenance services or support help users conserve products?
• How should design facilitate seasonal protection or long-term storage?
• What documentation or training teaches conservation practices effectively?</t>
        </is>
      </c>
      <c r="M54" s="73" t="n">
        <v>158</v>
      </c>
      <c r="N54" s="73" t="inlineStr">
        <is>
          <t>Chapman, J. (2015). Emotionally durable design: Objects, experiences and empathy (2nd ed.). Routledge.
Stahel, W. R. (2010). The performance economy. Palgrave Macmillan.
Bakker, C., Wang, F., Huisman, J., &amp; den Hollander, M. (2014). Products that go round: Exploring product life extension through design. Journal of Cleaner Production, 69, 10-16.</t>
        </is>
      </c>
      <c r="O54" s="73" t="n"/>
      <c r="P54" s="73" t="n">
        <v>1</v>
      </c>
      <c r="Q54" s="73" t="n"/>
      <c r="R54" s="73" t="inlineStr">
        <is>
          <t>LOOP 1</t>
        </is>
      </c>
      <c r="S54" s="73" t="inlineStr">
        <is>
          <t>Materials,Components,Products</t>
        </is>
      </c>
      <c r="T54" s="73" t="n"/>
      <c r="U54" s="73" t="n"/>
      <c r="V54" s="73" t="n"/>
      <c r="W54" s="73" t="n"/>
      <c r="X54" s="73" t="n"/>
    </row>
    <row r="55" hidden="1" ht="75" customHeight="1" s="76">
      <c r="A55" s="46" t="inlineStr">
        <is>
          <t>use</t>
        </is>
      </c>
      <c r="B55" s="46" t="n">
        <v>48</v>
      </c>
      <c r="C55" s="46" t="inlineStr">
        <is>
          <t>Df Reuse</t>
        </is>
      </c>
      <c r="D55" s="44" t="inlineStr">
        <is>
          <t>Df Behavioural Change</t>
        </is>
      </c>
      <c r="E55" s="45" t="inlineStr">
        <is>
          <t>Df Material Degradation Acceptance</t>
        </is>
      </c>
      <c r="F55" s="46" t="n">
        <v>1</v>
      </c>
      <c r="G55" s="46" t="n"/>
      <c r="H55" s="46" t="inlineStr">
        <is>
          <t>Design aesthetic approaches where material degradation and aging enhance rather than diminish perceived value. Use materials with beautiful aging characteristics. Document visible aging as evidence of durability and care. Reframe degradation as patina.</t>
        </is>
      </c>
      <c r="I55" s="46" t="inlineStr">
        <is>
          <t>Material degradation acceptance acknowledges that patina, weathering, and aging are natural and beautiful aspects of product use rather than failures requiring replacement. By designing materials and finishes that develop character and visual interest through aging—copper patina, weathered wood grain, worn leather texture—products become more meaningful and valued over time. This strategy directly contradicts fast fashion and disposable product aesthetics that require pristine, unchanging appearance. Products designed for graceful aging demonstrate durability while building emotional attachment through visible evidence of longevity and shared history.</t>
        </is>
      </c>
      <c r="J55" s="46" t="inlineStr">
        <is>
          <t>Materials with beautiful aging: leather, wood, metals, ceramics. Effective where cultural context values aging and authenticity over newness.</t>
        </is>
      </c>
      <c r="K55" s="46" t="inlineStr">
        <is>
          <t>Materials age beautifully and distinctly. Degradation viewed as positive patina. User care evident in appearance. Extended attachment as items age.</t>
        </is>
      </c>
      <c r="L55" s="46" t="inlineStr">
        <is>
          <t>• What materials develop attractive patina or patina with age?
• How should surface finishes be chosen to enhance rather than hide aging?
• What visual narratives celebrate material aging and weathering?
• How can design influence the direction and character of material degradation?
• What cultural traditions embrace aged materials as beautiful?
• How should aging be communicated positively in marketing and communication?</t>
        </is>
      </c>
      <c r="M55" s="46" t="n">
        <v>139</v>
      </c>
      <c r="N55" s="46" t="inlineStr">
        <is>
          <t>Chapman, J. (2015). Emotionally durable design: Objects, experiences and empathy (2nd ed.). Routledge.
Braungart, M., &amp; McDonough, W. (2002). Cradle to cradle: Remaking the way we make things. North Point Press.
Vezzoli, C., Kohtala, C., &amp; Srinivasan, A. (2014). Product-service system design for sustainability. Greenleaf Publishing.</t>
        </is>
      </c>
      <c r="O55" s="46" t="n"/>
      <c r="P55" s="46" t="n">
        <v>1</v>
      </c>
      <c r="Q55" s="46" t="n"/>
      <c r="R55" s="46" t="inlineStr">
        <is>
          <t>LOOP N,LAST LOOP</t>
        </is>
      </c>
      <c r="S55" s="46" t="inlineStr">
        <is>
          <t>Materials</t>
        </is>
      </c>
      <c r="T55" s="46" t="n"/>
      <c r="U55" s="46" t="n"/>
      <c r="V55" s="46" t="n"/>
      <c r="W55" s="46" t="n"/>
      <c r="X55" s="46" t="n"/>
    </row>
    <row r="56" hidden="1" ht="75" customHeight="1" s="76">
      <c r="A56" s="73" t="inlineStr">
        <is>
          <t>use</t>
        </is>
      </c>
      <c r="B56" s="73" t="n">
        <v>49</v>
      </c>
      <c r="C56" s="73" t="inlineStr">
        <is>
          <t>Df Reuse</t>
        </is>
      </c>
      <c r="D56" s="44" t="inlineStr">
        <is>
          <t>Df Behavioural Change</t>
        </is>
      </c>
      <c r="E56" s="45" t="inlineStr">
        <is>
          <t>Df Adaptive Reuse</t>
        </is>
      </c>
      <c r="F56" s="73" t="n">
        <v>1</v>
      </c>
      <c r="G56" s="73" t="n"/>
      <c r="H56" s="73" t="inlineStr">
        <is>
          <t>Design products enabling repurposing to new applications as original need changes. Use modular components enabling recombination. Provide documentation supporting adaptive reuse. Build supply chains enabling component recovery and reapplication.</t>
        </is>
      </c>
      <c r="I56" s="73" t="inlineStr">
        <is>
          <t>Adaptive reuse strategies enable products designed for one purpose to be repurposed for different contexts or functions, extending lifecycle beyond original intention. This approach maximizes product value by enabling secondary market applications, home modifications, or creative reinterpretation by end-users. Design for adaptive reuse requires functional flexibility, modular architecture, and aesthetic coherence that permits recombination and redeployment. Adaptive reuse exemplifies circular principles by maximizing resource utilization and keeping materials in use indefinitely.</t>
        </is>
      </c>
      <c r="J56" s="73" t="inlineStr">
        <is>
          <t>Furniture, fixtures, and equipment with potential secondary applications. Effective where component modularity enables multiple use scenarios.</t>
        </is>
      </c>
      <c r="K56" s="73" t="inlineStr">
        <is>
          <t>Modular design enables recombination. Documentation supports repurposing. Secondary applications identified. Components salvageable for new uses.</t>
        </is>
      </c>
      <c r="L56" s="73" t="inlineStr">
        <is>
          <t>• What alternative uses or contexts could this product serve?
• How can modular design enable reconfiguration for different applications?
• What functional interfaces or connection systems enable adaptive use?
• How can aesthetic design remain coherent across different use contexts?
• What documentation or guidance helps users envision adaptive reuse?
• How does adaptive reuse inform material selection and durability requirements?</t>
        </is>
      </c>
      <c r="M56" s="73" t="n">
        <v>74</v>
      </c>
      <c r="N56" s="73" t="inlineStr">
        <is>
          <t>Bakker, C., Wang, F., Huisman, J., &amp; den Hollander, M. (2014). Products that go round: Exploring product life extension through design. Journal of Cleaner Production, 69, 10-16.
den Hollander, M. C., Bakker, C. A., &amp; Hultink, E. J. (2017). Product design in a circular economy: Development of a typology of key concepts and terms. Journal of Industrial Ecology, 21(3), 517-525.
Lacy, P., &amp; Rutqvist, J. (2015). Waste to wealth: The circular economy advantage. Palgrave Macmillan.</t>
        </is>
      </c>
      <c r="O56" s="73" t="n"/>
      <c r="P56" s="73" t="n">
        <v>1</v>
      </c>
      <c r="Q56" s="73" t="n"/>
      <c r="R56" s="73" t="inlineStr">
        <is>
          <t>LOOP N,LAST LOOP</t>
        </is>
      </c>
      <c r="S56" s="73" t="inlineStr">
        <is>
          <t>Materials,Components,Products</t>
        </is>
      </c>
      <c r="T56" s="73" t="n"/>
      <c r="U56" s="73" t="n"/>
      <c r="V56" s="73" t="n"/>
      <c r="W56" s="73" t="n"/>
      <c r="X56" s="73" t="n"/>
    </row>
    <row r="57" hidden="1" ht="75" customHeight="1" s="76">
      <c r="A57" s="46" t="inlineStr">
        <is>
          <t>use</t>
        </is>
      </c>
      <c r="B57" s="46" t="n">
        <v>50</v>
      </c>
      <c r="C57" s="46" t="inlineStr">
        <is>
          <t>Df Reuse</t>
        </is>
      </c>
      <c r="D57" s="44" t="inlineStr">
        <is>
          <t>Df Behavioural Change</t>
        </is>
      </c>
      <c r="E57" s="45" t="inlineStr">
        <is>
          <t>Df Customization</t>
        </is>
      </c>
      <c r="F57" s="46" t="n">
        <v>1</v>
      </c>
      <c r="G57" s="46" t="n"/>
      <c r="H57" s="46" t="inlineStr">
        <is>
          <t>Design for personalization enabling user expression without full replacement. Support customization of appearance and functionality. Enable easy modification and reconfiguration. Use modular components enabling combinations.</t>
        </is>
      </c>
      <c r="I57" s="46" t="inlineStr">
        <is>
          <t>To increase the variety of products and fulfil the wants and needs of individual customers, designers can apply design for customization strategy. By using this strategy the designers will create a strong user-product relationship. Through web-based systems for product platform customization, the company can meet users need and ensure its optimal business.</t>
        </is>
      </c>
      <c r="J57" s="46" t="inlineStr">
        <is>
          <t>Furniture, fashion, electronics where user preferences vary significantly. Effective where customization reduces obsolescence from changing preferences.</t>
        </is>
      </c>
      <c r="K57" s="46" t="inlineStr">
        <is>
          <t>Modular design enables combinations. Personalization supported without requiring tools. Wide aesthetic variety achievable. Components remain compatible.</t>
        </is>
      </c>
      <c r="L57" s="46" t="inlineStr">
        <is>
          <t>• What product aspects can be customized without compromising durability?
• How should customization affect brand identity and market positioning?
• What personalization options increase user attachment and ownership?
• How can customization be enabled through modular design?
• What digital or physical tools facilitate user customization?
• How does customization influence production efficiency and material waste?</t>
        </is>
      </c>
      <c r="M57" s="46" t="n">
        <v>97</v>
      </c>
      <c r="N57" s="46" t="inlineStr">
        <is>
          <t>Vezzoli, C., Kohtala, C., &amp; Srinivasan, A. (2014). Product-service system design for sustainability. Greenleaf Publishing.
Chapman, J. (2015). Emotionally durable design: Objects, experiences and empathy (2nd ed.). Routledge.</t>
        </is>
      </c>
      <c r="O57" s="46" t="n"/>
      <c r="P57" s="46" t="n">
        <v>1</v>
      </c>
      <c r="Q57" s="46" t="n"/>
      <c r="R57" s="46" t="inlineStr">
        <is>
          <t>LOOP 1,LOOP N,LAST LOOP</t>
        </is>
      </c>
      <c r="S57" s="46" t="inlineStr">
        <is>
          <t>Products</t>
        </is>
      </c>
      <c r="T57" s="46" t="n"/>
      <c r="U57" s="46" t="n"/>
      <c r="V57" s="46" t="n"/>
      <c r="W57" s="46" t="n"/>
      <c r="X57" s="46" t="n"/>
    </row>
    <row r="58" hidden="1" ht="75" customHeight="1" s="76">
      <c r="A58" s="73" t="inlineStr">
        <is>
          <t>use</t>
        </is>
      </c>
      <c r="B58" s="73" t="n">
        <v>51</v>
      </c>
      <c r="C58" s="73" t="inlineStr">
        <is>
          <t>Df Reuse</t>
        </is>
      </c>
      <c r="D58" s="44" t="inlineStr">
        <is>
          <t>Df Behavioural Change</t>
        </is>
      </c>
      <c r="E58" s="45" t="inlineStr">
        <is>
          <t>Df Imperfection</t>
        </is>
      </c>
      <c r="F58" s="73" t="n"/>
      <c r="G58" s="73" t="n"/>
      <c r="H58" s="73" t="inlineStr">
        <is>
          <t>Incorporate design details emphasizing durability and function over perfection. Celebrate honest materials and visible construction. Use simplicity reducing visual obsolescence. Design details that improve with use.</t>
        </is>
      </c>
      <c r="I58" s="73" t="inlineStr">
        <is>
          <t>Imperfection design celebrates human variation, craftsmanship evidence, and intentional deviation from industrial precision as markers of authenticity and quality. By rejecting machine-like perfection in favor of visible handwork, natural material variation, and deliberate asymmetry, products communicate values aligned with circularity: durability, authenticity, and resistance to disposable aesthetics. Imperfection encourages emotional attachment by revealing human effort and skill. This strategy contradicts mass production aesthetics requiring flawless consistency, instead embracing wabi-sabi philosophy valuing aged, incomplete, humble beauty.</t>
        </is>
      </c>
      <c r="J58" s="73" t="inlineStr">
        <is>
          <t>Particularly effective for craft and lifestyle products. Works where consumers appreciate authenticity and function over polish.</t>
        </is>
      </c>
      <c r="K58" s="73" t="inlineStr">
        <is>
          <t>Honest material expression valued. Visible construction evident. Functional details celebrated. Simplicity reduces trend sensitivity.</t>
        </is>
      </c>
      <c r="L58" s="73" t="inlineStr">
        <is>
          <t>• What manufacturing processes reveal beneficial handwork or imperfection?
• How should material variation be celebrated rather than hidden?
• What aesthetic principles govern intentional design imperfection?
• How can imperfection communicate authenticity and craftsmanship?
• What cultural references (wabi-sabi, folk traditions) inform imperfection design?
• How can imperfection be distinguished from defect or manufacturing failure?</t>
        </is>
      </c>
      <c r="M58" s="73" t="n">
        <v>79</v>
      </c>
      <c r="N58" s="73" t="inlineStr">
        <is>
          <t>Chapman, J. (2015). Emotionally durable design: Objects, experiences and empathy (2nd ed.). Routledge.
Vezzoli, C., Kohtala, C., &amp; Srinivasan, A. (2014). Product-service system design for sustainability. Greenleaf Publishing.
Bakker, C., Wang, F., Huisman, J., &amp; den Hollander, M. (2014). Products that go round: Exploring product life extension through design. Journal of Cleaner Production, 69, 10-16.</t>
        </is>
      </c>
      <c r="O58" s="73" t="n"/>
      <c r="P58" s="73" t="n">
        <v>1</v>
      </c>
      <c r="Q58" s="73" t="n"/>
      <c r="R58" s="73" t="inlineStr">
        <is>
          <t>LOOP N,LAST LOOP</t>
        </is>
      </c>
      <c r="S58" s="73" t="inlineStr">
        <is>
          <t>Materials,Components,Products</t>
        </is>
      </c>
      <c r="T58" s="73" t="n"/>
      <c r="U58" s="73" t="n"/>
      <c r="V58" s="73" t="n"/>
      <c r="W58" s="73" t="n"/>
      <c r="X58" s="73" t="n"/>
    </row>
    <row r="59" hidden="1" ht="75" customHeight="1" s="76">
      <c r="A59" s="46" t="inlineStr">
        <is>
          <t>use</t>
        </is>
      </c>
      <c r="B59" s="46" t="n">
        <v>52</v>
      </c>
      <c r="C59" s="46" t="inlineStr">
        <is>
          <t>Df Reuse</t>
        </is>
      </c>
      <c r="D59" s="44" t="inlineStr">
        <is>
          <t>Df Behavioural Change</t>
        </is>
      </c>
      <c r="E59" s="45" t="inlineStr">
        <is>
          <t>Df Timeless Aesthetics</t>
        </is>
      </c>
      <c r="F59" s="46" t="n"/>
      <c r="G59" s="46" t="n"/>
      <c r="H59" s="46" t="inlineStr">
        <is>
          <t>Develop design languages emphasizing enduring appeal over temporal trends. Use proportions and details with demonstrated longevity across decades. Incorporate timeless rather than trendy elements. Support aesthetic refresh through modular elements.</t>
        </is>
      </c>
      <c r="I59" s="46" t="inlineStr">
        <is>
          <t>Timeless aesthetic design transcends trend-driven cycles by establishing visual languages that remain meaningful and attractive across decades of use. Products with timeless aesthetics avoid rapid obsolescence driven by style perception, enabling extended ownership and reuse. Timeless design often references foundational principles—proportion, simplicity, material honesty—rather than fashion. This approach directly supports circular economies by making replacement less appealing relative to maintenance and repair. Timeless products become cultural anchors that users prefer to keep rather than update.</t>
        </is>
      </c>
      <c r="J59" s="46" t="inlineStr">
        <is>
          <t>All product categories benefit. Particularly important for premium-positioned and long-use-expectation products.</t>
        </is>
      </c>
      <c r="K59" s="46" t="inlineStr">
        <is>
          <t>Proportions transcend temporary trends. Neutral foundational aesthetics. Trend-sensitive elements modular and replaceable. Aging enhances rather than diminishes appeal.</t>
        </is>
      </c>
      <c r="L59" s="46" t="inlineStr">
        <is>
          <t>• What design principles create lasting visual appeal across decades?
• How should product aesthetics reference cultural or historical models?
• What level of aesthetic simplicity maintains timelessness?
• How can color, proportion, and form avoid dated appearance?
• What aesthetic mistakes or trends should be avoided?
• How does timeless aesthetic design affect material and manufacturing choices?</t>
        </is>
      </c>
      <c r="M59" s="46" t="n">
        <v>5</v>
      </c>
      <c r="N59" s="46" t="inlineStr">
        <is>
          <t>Chapman, J. (2015). Emotionally durable design: Objects, experiences and empathy (2nd ed.). Routledge.
Bakker, C., Wang, F., Huisman, J., &amp; den Hollander, M. (2014). Products that go round: Exploring product life extension through design. Journal of Cleaner Production, 69, 10-16.
Stahel, W. R. (2010). The performance economy. Palgrave Macmillan.</t>
        </is>
      </c>
      <c r="O59" s="46" t="n"/>
      <c r="P59" s="46" t="n">
        <v>1</v>
      </c>
      <c r="Q59" s="46" t="n"/>
      <c r="R59" s="46" t="inlineStr">
        <is>
          <t>LOOP 1</t>
        </is>
      </c>
      <c r="S59" s="46" t="inlineStr">
        <is>
          <t>Materials,Components,Products</t>
        </is>
      </c>
      <c r="T59" s="46" t="n"/>
      <c r="U59" s="46" t="n"/>
      <c r="V59" s="46" t="n"/>
      <c r="W59" s="46" t="n"/>
      <c r="X59" s="46" t="n"/>
    </row>
    <row r="60" hidden="1" ht="75" customHeight="1" s="76">
      <c r="A60" s="73" t="inlineStr">
        <is>
          <t>use</t>
        </is>
      </c>
      <c r="B60" s="73" t="n">
        <v>150</v>
      </c>
      <c r="C60" s="73" t="inlineStr">
        <is>
          <t>Df Reuse</t>
        </is>
      </c>
      <c r="D60" s="44" t="inlineStr">
        <is>
          <t>Df Behavioural Change</t>
        </is>
      </c>
      <c r="E60" s="45" t="inlineStr">
        <is>
          <t>Df Nudging</t>
        </is>
      </c>
      <c r="F60" s="73" t="n">
        <v>1</v>
      </c>
      <c r="G60" s="73" t="inlineStr">
        <is>
          <t>high</t>
        </is>
      </c>
      <c r="H60" s="73" t="inlineStr">
        <is>
          <t>Design subtle interface cues and defaults guiding users toward sustainable choices without restriction. Use positive framing emphasizing benefits over sacrifices. Provide feedback reinforcing desired behaviors. Make sustainable options slightly more convenient than alternatives.</t>
        </is>
      </c>
      <c r="I60" s="73" t="inlineStr">
        <is>
          <t>Design for Nudging is a strategy to encourage consumers to act in an environmentally responsible way by leveraging the knowledge about cognitive biases to influence behaviour in a positive direction. Often this strategy is considered unethical because it influences users' judgment, choice or behaviour in a predictable way sometimes without them noticing it.</t>
        </is>
      </c>
      <c r="J60" s="73" t="inlineStr">
        <is>
          <t>All product categories. Particularly effective where behavior changes are needed. Works where users are already motivated toward sustainability.</t>
        </is>
      </c>
      <c r="K60" s="73" t="inlineStr">
        <is>
          <t>Subtle design cues guide behavior. Positive framing emphasized. Defaults favor sustainability. Feedback reinforces desired choices.</t>
        </is>
      </c>
      <c r="L60" s="73" t="inlineStr">
        <is>
          <t>How could users be nudged to reuse the product more times before getting rid of it?</t>
        </is>
      </c>
      <c r="M60" s="73" t="n">
        <v>88</v>
      </c>
      <c r="N60" s="73" t="inlineStr">
        <is>
          <t>Richard H Thaler and Cass R Sunstein. 2009. Nudge: Improving decisions about health, wealth, and happiness. Penguin.
Lehner, Matthias, Oksana Mont, and Eva Heiskanen. 2016. “Nudging – A Promising Tool for Sustainable Consumption Behaviour?” Journal of Cleaner Production, Special Volume: Transitions to Sustainable Consumption and Production in Cities, 134 (October): 166–77. https://doi.org/10.1016/j.jclepro.2015.11.086.</t>
        </is>
      </c>
      <c r="O60" s="73" t="n"/>
      <c r="P60" s="73" t="n"/>
      <c r="Q60" s="73" t="inlineStr">
        <is>
          <t>Df Efficiency</t>
        </is>
      </c>
      <c r="R60" s="73" t="inlineStr">
        <is>
          <t>LOOP 1,LOOP N,LAST LOOP</t>
        </is>
      </c>
      <c r="S60" s="73" t="inlineStr">
        <is>
          <t>Components,Products,Systems</t>
        </is>
      </c>
      <c r="T60" s="73" t="inlineStr">
        <is>
          <t>alessio.franconi87@gmail.com</t>
        </is>
      </c>
      <c r="U60" s="73" t="inlineStr">
        <is>
          <t>Wed Nov 18 2020 21:41:47 GMT+0000 (Ora del meridiano di Greenwich)</t>
        </is>
      </c>
      <c r="V60" s="73" t="n"/>
      <c r="W60" s="73" t="n"/>
      <c r="X60" s="73" t="n"/>
    </row>
    <row r="61" hidden="1" ht="75" customHeight="1" s="76">
      <c r="A61" s="46" t="inlineStr">
        <is>
          <t>use</t>
        </is>
      </c>
      <c r="B61" s="46" t="n">
        <v>53</v>
      </c>
      <c r="C61" s="46" t="inlineStr">
        <is>
          <t>Df Reuse</t>
        </is>
      </c>
      <c r="D61" s="44" t="inlineStr">
        <is>
          <t>Df Behavioural Change</t>
        </is>
      </c>
      <c r="E61" s="44" t="inlineStr">
        <is>
          <t>Df Behavioural Change</t>
        </is>
      </c>
      <c r="F61" s="46" t="n"/>
      <c r="G61" s="46" t="n"/>
      <c r="H61" s="46" t="inlineStr">
        <is>
          <t>Design features and defaults promoting sustainable behaviors. Use positive framing and gentle guidance rather than restrictions. Provide feedback reinforcing desired behaviors. Make sustainable choices easier and more attractive.</t>
        </is>
      </c>
      <c r="I61" s="46" t="inlineStr">
        <is>
          <t>Behavioral change design explicitly aims to shift user habits and practices toward more sustainable patterns through product features, feedback systems, and social influences. Unlike passive information provision, behavioral change design actively shapes decisions through defaults, choice architecture, and incentive structures embedded in products. This approach draws on behavioral economics research showing that context and ease-of-choice predict action more strongly than awareness or motivation. Products designed for behavioral change integrate sustainability into normal use patterns rather than requiring conscious effort or willpower.</t>
        </is>
      </c>
      <c r="J61" s="46" t="inlineStr">
        <is>
          <t>All product categories. Particularly effective where behavior significantly impacts performance and environmental impact.</t>
        </is>
      </c>
      <c r="K61" s="46" t="inlineStr">
        <is>
          <t>Defaults favor sustainability. Subtle guidance without coercion. Positive framing and incentives. Feedback reinforces change.</t>
        </is>
      </c>
      <c r="L61" s="46" t="inlineStr">
        <is>
          <t>• What specific behaviors should products encourage or discourage?
• How can defaults, framing, and choice architecture guide behavior?
• What feedback mechanisms communicate behavior consequences in real-time?
• How should products reward or reinforce desired behaviors?
• What social comparisons or peer influences motivate behavior change?
• How can products accommodate different user preferences and contexts?</t>
        </is>
      </c>
      <c r="M61" s="46" t="n">
        <v>113</v>
      </c>
      <c r="N61" s="46" t="inlineStr">
        <is>
          <t>Thaler, R. H., &amp; Sunstein, C. R. (2008). Nudge: Improving decisions about health, wealth, and happiness. Yale University Press.
Steg, L., &amp; Vlek, C. (2009). Encouraging pro-environmental behaviour: An integrative review and research agenda. Journal of Environmental Psychology, 29(3), 309-317.
Geissdoerfer, M., Savaget, P., Bocken, N. M., &amp; Hultink, E. J. (2017). The circular economy–a new sustainability paradigm? Journal of Cleaner Production, 143, 757-768.</t>
        </is>
      </c>
      <c r="O61" s="46" t="n"/>
      <c r="P61" s="46" t="n">
        <v>1</v>
      </c>
      <c r="Q61" s="46" t="n"/>
      <c r="R61" s="46" t="inlineStr">
        <is>
          <t>LOOP 1,LOOP N,LAST LOOP</t>
        </is>
      </c>
      <c r="S61" s="46" t="inlineStr">
        <is>
          <t>Materials,Components,Products,Processes,Systems</t>
        </is>
      </c>
      <c r="T61" s="46" t="n"/>
      <c r="U61" s="46" t="n"/>
      <c r="V61" s="46" t="n"/>
      <c r="W61" s="46" t="n"/>
      <c r="X61" s="46" t="n"/>
    </row>
    <row r="62" hidden="1" ht="75" customHeight="1" s="76">
      <c r="A62" s="73" t="inlineStr">
        <is>
          <t>service</t>
        </is>
      </c>
      <c r="B62" s="73" t="n">
        <v>54</v>
      </c>
      <c r="C62" s="73" t="inlineStr">
        <is>
          <t>Df Reuse</t>
        </is>
      </c>
      <c r="D62" s="59" t="inlineStr">
        <is>
          <t>Df Maintainability</t>
        </is>
      </c>
      <c r="E62" s="60" t="inlineStr">
        <is>
          <t>Df Accessibility</t>
        </is>
      </c>
      <c r="F62" s="73" t="n"/>
      <c r="G62" s="73" t="n"/>
      <c r="H62" s="73" t="inlineStr">
        <is>
          <t>Ensure interfaces accommodate diverse physical and cognitive abilities. Minimize required strength and dexterity. Use multiple input and output modalities. Conduct testing with diverse user populations. Provide clear, accessible instructions.</t>
        </is>
      </c>
      <c r="I62" s="73" t="inlineStr">
        <is>
          <t xml:space="preserve">The relatively easy accessibility of a component or piece of equipment facilitate the service maintanance, replacement or repair. </t>
        </is>
      </c>
      <c r="J62" s="73" t="inlineStr">
        <is>
          <t>All product categories. Particularly important for appliances, furniture, tools across age ranges and abilities.</t>
        </is>
      </c>
      <c r="K62" s="73" t="inlineStr">
        <is>
          <t>Multiple interaction modes. Minimal strength requirements. Intuitive design and clear feedback. Accommodates diverse abilities.</t>
        </is>
      </c>
      <c r="L62" s="73" t="inlineStr">
        <is>
          <t>• How can products be designed for physical and cognitive accessibility?
• What universal design principles remove barriers for diverse users?
• How should repair and maintenance instructions accommodate different abilities?
• What assistive technologies or adaptive features expand product usability?
• How can accessibility be integrated without compromising aesthetics?
• How does accessibility affect reuse and shared consumption models?</t>
        </is>
      </c>
      <c r="M62" s="73" t="n">
        <v>115</v>
      </c>
      <c r="N62" s="73" t="inlineStr">
        <is>
          <t xml:space="preserve">AMCP 706-133. (1976). Engineering Design Handbook: Maintainability
Engineering Theory and Practice. Department of Defense, Washington,
D.C.
B.S, Dhilon. (1999). Engineering Maintainability: How to Design for Reliability and Easy Maintenance. Elsevier.
</t>
        </is>
      </c>
      <c r="O62" s="73" t="n"/>
      <c r="P62" s="73" t="n">
        <v>1</v>
      </c>
      <c r="Q62" s="73" t="n"/>
      <c r="R62" s="73" t="inlineStr">
        <is>
          <t>LOOP 1,LOOP N,LAST LOOP</t>
        </is>
      </c>
      <c r="S62" s="73" t="inlineStr">
        <is>
          <t>Products</t>
        </is>
      </c>
      <c r="T62" s="73" t="n"/>
      <c r="U62" s="73" t="n"/>
      <c r="V62" s="73" t="n"/>
      <c r="W62" s="73" t="n"/>
      <c r="X62" s="73" t="n"/>
    </row>
    <row r="63" hidden="1" ht="75" customHeight="1" s="76">
      <c r="A63" s="46" t="inlineStr">
        <is>
          <t>service</t>
        </is>
      </c>
      <c r="B63" s="46" t="n">
        <v>55</v>
      </c>
      <c r="C63" s="46" t="inlineStr">
        <is>
          <t>Df Reuse</t>
        </is>
      </c>
      <c r="D63" s="59" t="inlineStr">
        <is>
          <t>Df Maintainability</t>
        </is>
      </c>
      <c r="E63" s="60" t="inlineStr">
        <is>
          <t>Df Reparability</t>
        </is>
      </c>
      <c r="F63" s="46" t="n">
        <v>2</v>
      </c>
      <c r="G63" s="46" t="n"/>
      <c r="H63" s="46" t="inlineStr">
        <is>
          <t>Design with accessible fasteners and clear procedures. Provide repair documentation and instructional videos. Use standard tools and parts available locally. Ensure components are modular and easily removable for replacement.</t>
        </is>
      </c>
      <c r="I63" s="46" t="inlineStr">
        <is>
          <t>Design for Repairability can help companies achieve product longevity and product reuse with minimal use of energy and materials. This strategy can be used as a part of circular business models to effectively achieve economic and environmental benefits. There are also business models specific to repair such as 3rd party repair service providers, authorised repair service providers, exchange repair service, fixed price repair service models.</t>
        </is>
      </c>
      <c r="J63" s="46" t="inlineStr">
        <is>
          <t>Certain principles and guidelines exist to design repairable products such as:
•  Designing and manufacturing the product in a way that it is easy to disassemble with commonly available tools.
•  Using mechanical connection methods such as screws instead of irreversible ones such as soldering, one-way snap-fits, and using glue.
•  Considering the multiple lives of the object and designing and manufacturing the product to be disassembled, repaired, and reassembled many times.
•  Using standardised product components to facilitate replacement of damaged components.
•  Designing and manufacturing the product in a way that it easy to access the easily damageable components.</t>
        </is>
      </c>
      <c r="K63" s="46" t="inlineStr">
        <is>
          <t>Accessible fastening systems throughout. Documentation supports user repair. Standard parts readily available. Modular design enables component replacement.</t>
        </is>
      </c>
      <c r="L63" s="46" t="inlineStr">
        <is>
          <t>• Is there any component that is prone to breakdown? 
• Are the products components with short life spans easy to access?
• Does the design enable the replacement of easily damageable product parts?
• Are the tools, materials, and information to repair the product easily accessible?</t>
        </is>
      </c>
      <c r="M63" s="46" t="n">
        <v>124</v>
      </c>
      <c r="N63" s="61" t="inlineStr">
        <is>
          <t>Nazlı, Terzioğlu. «Repair Motivation and Barriers Model: Investigating User Perspectives Related to Product Repair towards a Circular Economy». Journal of Cleaner Production 289 (20 marzo 2021): 125644.
Simpson. «Patagonia Mobile Worn Wear Tour: If It’s Broke, Fix It» Patagonia website, https://www.patagoniaworks.com/press/2015/3/31/patagonia-mobile-worn-wear-tour-if-its-broke-fix-it</t>
        </is>
      </c>
      <c r="O63" s="46" t="n"/>
      <c r="P63" s="46" t="n">
        <v>1</v>
      </c>
      <c r="Q63" s="46" t="n"/>
      <c r="R63" s="46" t="inlineStr">
        <is>
          <t>LOOP 1,LOOP N,LAST LOOP</t>
        </is>
      </c>
      <c r="S63" s="46" t="inlineStr">
        <is>
          <t>Components,Products</t>
        </is>
      </c>
      <c r="T63" s="46" t="inlineStr">
        <is>
          <t>alessio.franconi87@gmail.com</t>
        </is>
      </c>
      <c r="U63" s="46" t="inlineStr">
        <is>
          <t>Thu Mar 17 2022 06:57:05 GMT+0000 (Greenwich Mean Time)</t>
        </is>
      </c>
      <c r="V63" s="46" t="n"/>
      <c r="W63" s="46" t="n"/>
      <c r="X63" s="46" t="n"/>
    </row>
    <row r="64" hidden="1" ht="75" customHeight="1" s="76">
      <c r="A64" s="73" t="inlineStr">
        <is>
          <t>service</t>
        </is>
      </c>
      <c r="B64" s="73" t="n">
        <v>56</v>
      </c>
      <c r="C64" s="73" t="inlineStr">
        <is>
          <t>Df Reuse</t>
        </is>
      </c>
      <c r="D64" s="59" t="inlineStr">
        <is>
          <t>Df Maintainability</t>
        </is>
      </c>
      <c r="E64" s="60" t="inlineStr">
        <is>
          <t>Df Upgrading</t>
        </is>
      </c>
      <c r="F64" s="73" t="n">
        <v>5</v>
      </c>
      <c r="G64" s="73" t="n"/>
      <c r="H64" s="73" t="inlineStr">
        <is>
          <t>Design modular architectures with standardized interfaces. Use compatible form factors enabling component upgrades. Document upgrade procedures. Ensure upgrade components are available at reasonable costs.</t>
        </is>
      </c>
      <c r="I64" s="73" t="inlineStr">
        <is>
          <t>Design for Upgrading (DfU) is a design tool which mainly focuses on enhancing the functionality of products and physical suitability for the ease of upgrade. Upgradability of the products helps in reducing natural-resource depletion, used-product disposal, and CO2 emissions. The upgradeable product design helps to extend the lifespan of the product. There are two methods for this strategy as follows:
•	Upgrade by replacing components with new and higher quality components
•	Upgrade through adding components or modifying the structure of the product</t>
        </is>
      </c>
      <c r="J64" s="73" t="inlineStr">
        <is>
          <t>For a closed-loop supply chain, DfU is used to enhance the functions and performance of the products. Upgrade planning is based on predicted customer demands.</t>
        </is>
      </c>
      <c r="K64" s="73" t="inlineStr">
        <is>
          <t>Standardized interfaces support compatibility. Core structures persist longer than subsystems. Upgrade procedures documented. Components available long-term.</t>
        </is>
      </c>
      <c r="L64" s="73" t="inlineStr">
        <is>
          <t>•	How to model and prototype product upgradability based on engineering metric levels? Defining function attributes and metrics. 
•	How to model the product upgradability at the component level? Identifying the enabling components.
•	What are the structural levels for the upgradability model? Identifying structures and modules of products.
•	What are the alternative solutions and characteristics? Searching for solution principles and their combinations.
•	What are the promising solutions to consider in design for upgradability? Selecting a suitable combination.</t>
        </is>
      </c>
      <c r="M64" s="73" t="n">
        <v>124</v>
      </c>
      <c r="N64" s="73" t="inlineStr">
        <is>
          <t>Xing, Ke, and Martin Belusko. "Design for upgradability algorithm: configuring durable products for competitive reutilization." (2008): 111102.
Inoue, Masato, et al. "A design method for product upgradability with different customer demands." IFIP International Conference on Product Lifecycle Management. Springer, Berlin, Heidelberg, 2014.
Umeda, Yasushi, et al. "Development of design methodology for upgradable products based on function–behavior–state modeling." Ai Edam 19.3 (2005): 161-182.</t>
        </is>
      </c>
      <c r="O64" s="73" t="n"/>
      <c r="P64" s="73" t="n">
        <v>1</v>
      </c>
      <c r="Q64" s="73" t="n"/>
      <c r="R64" s="73" t="inlineStr">
        <is>
          <t>LOOP 1,LOOP N</t>
        </is>
      </c>
      <c r="S64" s="73" t="inlineStr">
        <is>
          <t>Products</t>
        </is>
      </c>
      <c r="T64" s="73" t="inlineStr">
        <is>
          <t>alessio.franconi87@gmail.com</t>
        </is>
      </c>
      <c r="U64" s="73" t="inlineStr">
        <is>
          <t>Fri Jul 08 2022 10:38:25 GMT+0100 (British Summer Time)</t>
        </is>
      </c>
      <c r="V64" s="73" t="n"/>
      <c r="W64" s="73" t="n"/>
      <c r="X64" s="73" t="n"/>
    </row>
    <row r="65" hidden="1" ht="75" customHeight="1" s="76">
      <c r="A65" s="46" t="inlineStr">
        <is>
          <t>service</t>
        </is>
      </c>
      <c r="B65" s="46" t="n">
        <v>57</v>
      </c>
      <c r="C65" s="46" t="inlineStr">
        <is>
          <t>Df Reuse</t>
        </is>
      </c>
      <c r="D65" s="59" t="inlineStr">
        <is>
          <t>Df Maintainability</t>
        </is>
      </c>
      <c r="E65" s="59" t="inlineStr">
        <is>
          <t>Df Maintainability</t>
        </is>
      </c>
      <c r="F65" s="46" t="n">
        <v>1</v>
      </c>
      <c r="G65" s="46" t="n"/>
      <c r="H65" s="46" t="inlineStr">
        <is>
          <t>Design products so that routine maintenance tasks can be performed easily by users or service technicians with minimal specialist knowledge. Prioritise accessible component layouts, clear service documentation, and standardised connection points. Reduce the number of tools required for common maintenance operations and ensure that wear parts can be identified and replaced without disassembling unrelated systems. Integrate condition monitoring features where feasible to shift maintenance from scheduled intervals to needs-based intervention.</t>
        </is>
      </c>
      <c r="I65" s="46" t="inlineStr">
        <is>
          <t>The maintenability can be defined as "a characteristic of design and installation expressed as a probability that an item will be retained in or restored to specified conditionswithin a given period of time, when maintenance action is performed in accordance with prescribed procedures and resources." (AMCP 706-133, 1976). In order to keep products performances and values for long time, products should be able to be maintained properly. Customers or experts should easily, quickly and cheaply be able to access, repair or upgrade the product. This will avoid the dissatisfaction of the user with the product and technical obsolescence. Companies can work on data informations to predict the interval of time of the technical failure and prevent it through a use-based maintenance. Improving the effectiveness of maintenance,  particularly for PSS, reduce costs related to maintenance actions and, in the same time, increase job  growth. 
Design for maintainability means also:
•  Design a program to maintain products regularly
•  Design a product easy to maintain
•  Provide a possible kit or a manual to help users in maintenance their product
•  Design for a technical and interactive simplicity
•  Design for a multi-systemic application 
•  Design the product for a better prediction of maintenance 
•  Design for proactive maintenance ( such as regular cleaning or lubrification)</t>
        </is>
      </c>
      <c r="J65" s="46" t="inlineStr">
        <is>
          <t>High-value products subject to wear. Effective where maintenance prevents failure and extends life. Works in professional and industrial contexts.</t>
        </is>
      </c>
      <c r="K65" s="46" t="inlineStr">
        <is>
          <t>Accessible maintenance points throughout. Documentation supports user and professional maintenance. Monitoring systems track health. Supply chains support spare parts.</t>
        </is>
      </c>
      <c r="L65" s="46" t="inlineStr">
        <is>
          <t>• What maintenance tasks can typical users perform without expertise?
• How should maintenance procedures be documented and communicated?
• What spare parts or maintenance kits should be readily available?
• How can design enable safe, effective maintenance by non-experts?
• What maintenance intervals and schedules extend product life?
• How do we track and ensure compliance with maintenance recommendations?</t>
        </is>
      </c>
      <c r="M65" s="46" t="n">
        <v>116</v>
      </c>
      <c r="N65" s="46" t="inlineStr">
        <is>
          <t>AMCP 706-133. (1976). Engineering Design Handbook: Maintainability
Engineering Theory and Practice. Department of Defense, Washington,
D.C.</t>
        </is>
      </c>
      <c r="O65" s="46" t="n"/>
      <c r="P65" s="46" t="n">
        <v>1</v>
      </c>
      <c r="Q65" s="46" t="n"/>
      <c r="R65" s="46" t="inlineStr">
        <is>
          <t>LOOP 1,LOOP N,LAST LOOP</t>
        </is>
      </c>
      <c r="S65" s="46" t="inlineStr">
        <is>
          <t>Materials,Components,Products</t>
        </is>
      </c>
      <c r="T65" s="46" t="n"/>
      <c r="U65" s="46" t="n"/>
      <c r="V65" s="46" t="n"/>
      <c r="W65" s="46" t="n"/>
      <c r="X65" s="46" t="n"/>
    </row>
    <row r="66" hidden="1" ht="75" customHeight="1" s="76">
      <c r="A66" s="73" t="inlineStr">
        <is>
          <t>reverse</t>
        </is>
      </c>
      <c r="B66" s="73" t="n">
        <v>58</v>
      </c>
      <c r="C66" s="73" t="inlineStr">
        <is>
          <t>Df Reuse</t>
        </is>
      </c>
      <c r="D66" s="62" t="inlineStr">
        <is>
          <t>Df Closed-loop Reverse Supply Chain</t>
        </is>
      </c>
      <c r="E66" s="63" t="inlineStr">
        <is>
          <t>Df Buy-back</t>
        </is>
      </c>
      <c r="F66" s="73" t="n">
        <v>1</v>
      </c>
      <c r="G66" s="73" t="n"/>
      <c r="H66" s="73" t="inlineStr">
        <is>
          <t>Design products maintaining residual value supporting economic buy-back programs. Build quality and aesthetic appeal supporting secondary market appeal. Implement buy-back infrastructure and pricing structures. Enable refurbishment of bought-back products.</t>
        </is>
      </c>
      <c r="I66" s="73" t="inlineStr">
        <is>
          <t>In this strategy, manufacturers or other suppliers "buy-back" used products and components from their customers. The ability to predict return flows depends on the manufacturer's ability to set specific purchase prices. Hence, the manufacturer should define in advance what will be the desired stream between the entire product, components or materials of the product. Manufacturers need to determine the required amounts, price, time and sites of return for every form of return flow.
- For service and production purposes, manufacturers can obtain an inexpensive supply of components and materials;
- Buying-back used products may be an opportunity to reengage a new relationship with the customer for sale or lease new products;
- Deposition and incineration costs may be minimized;
- Understand how products are used and design better products.</t>
        </is>
      </c>
      <c r="J66" s="73" t="inlineStr">
        <is>
          <t>Durable goods and fashion items where secondary market demand exists. Effective where buy-back programs support brand loyalty.</t>
        </is>
      </c>
      <c r="K66" s="73" t="inlineStr">
        <is>
          <t>Quality supports secondary market demand. Consistent aesthetics across products. Fair buy-back pricing. Refurbishment infrastructure ready.</t>
        </is>
      </c>
      <c r="L66" s="73" t="inlineStr">
        <is>
          <t>• Which purchase channel can facilitate the take-back?
• How the company can withdrawal products from castomers?
• How the company can coordinate with retailers and other distributors to collect products?
• For how many loops the product can be buy-back?</t>
        </is>
      </c>
      <c r="M66" s="73" t="n">
        <v>6</v>
      </c>
      <c r="N66" s="73" t="inlineStr">
        <is>
          <t>Tukker, A. (2015). Product services for a resource-efficient and circular economy. Journal of Cleaner Production, 97, 76-91. https://doi.org/10.1016/j.jclepro.2013.11.049
Ellen MacArthur Foundation. (2015). Growth within: A circular economy vision for a competitive Europe.</t>
        </is>
      </c>
      <c r="O66" s="73" t="n"/>
      <c r="P66" s="73" t="n">
        <v>1</v>
      </c>
      <c r="Q66" s="73" t="n"/>
      <c r="R66" s="73" t="inlineStr">
        <is>
          <t>LOOP 1,LOOP N,LAST LOOP</t>
        </is>
      </c>
      <c r="S66" s="73" t="inlineStr">
        <is>
          <t>Processes,Systems</t>
        </is>
      </c>
      <c r="T66" s="73" t="n"/>
      <c r="U66" s="73" t="n"/>
      <c r="V66" s="73" t="n"/>
      <c r="W66" s="73" t="n"/>
      <c r="X66" s="73" t="n"/>
    </row>
    <row r="67" hidden="1" ht="75" customHeight="1" s="76">
      <c r="A67" s="46" t="inlineStr">
        <is>
          <t>reverse</t>
        </is>
      </c>
      <c r="B67" s="46" t="n">
        <v>59</v>
      </c>
      <c r="C67" s="46" t="inlineStr">
        <is>
          <t>Df Reuse</t>
        </is>
      </c>
      <c r="D67" s="62" t="inlineStr">
        <is>
          <t>Df Closed-loop Reverse Supply Chain</t>
        </is>
      </c>
      <c r="E67" s="63" t="inlineStr">
        <is>
          <t>Df Product Take-back</t>
        </is>
      </c>
      <c r="F67" s="46" t="n">
        <v>1</v>
      </c>
      <c r="G67" s="46" t="n"/>
      <c r="H67" s="46" t="inlineStr">
        <is>
          <t>Establish convenient take-back programs offering incentives for product return. Create intuitive processes and documentation. Implement product tracking and quality assessment. Route returned products to appropriate recovery pathways.</t>
        </is>
      </c>
      <c r="I67" s="46" t="inlineStr">
        <is>
          <t>In the Take Back Programs, companies should be able to develop collaborative programs with the customers. The aim of this goal is to build a strong relationship in order to get back the product. Also, this help the companies to  build customer loyalty schemes, convenient to both customers and companies. To develop a good understanding of drivers of return flow characteristics the designers can based their decision on data-based analysis by understand product category, life-cycle lenght, market value of used product. customer segment, ease of return, rebate policy, etc (Toktay et al. 2006). Different schemes can be use:
- Df Buy-Back Model
In order to collect the product in good condition to be reused, a possible strategy is to buy-back the product. This strategy implies that the quality of the product must be worth enough to be buy-back. The managing of various qualities of the product can complicate the selection process.
- Df Deposit-Refund Model
Here, the product cost is subject to a tax. When the item is returned, customers can be refunded. The amount, time, and potentially performance of the returned product can be associated with the return of the money. To improve collection rates of products, the minimum deposit/refund requirement should be higher than the value of the product. 
- Df Service Model
Here, the company sell the service of the product and not the product. In this way, the company is able to maintain the full control of the product through the various contracts typologies between B2C and B2B.</t>
        </is>
      </c>
      <c r="J67" s="46" t="inlineStr">
        <is>
          <t xml:space="preserve">The first consideration in this strategy is where the product is take-back form user or collect from manufacturers. In the second sample predict how to take-back the product can be easier. Designer should considerate for this strategy
- Timing of take-back (during the take-back process takes places,  technological components can get obsolete);
- Develop different strategies for different take-back programs (B2C, B2B, SME and Large Enterprise);
- Ecorage users or retailers to give-back products;
- Consider the geographic take-back system and reselling;
- Consider where, when and from whom the product should get back in the system in the next loops;
- Consider the return flow of the products and design the next production according to it;
- Take into consideration if your porduct is long-lasting, seasonal or short lifecycle
products;
</t>
        </is>
      </c>
      <c r="K67" s="46" t="inlineStr">
        <is>
          <t xml:space="preserve">The take-back program shall provide for an efficient service enough recovery facilities to manage the flow of the products. Take-back programs can be very expensive and waste many resources. For this reasons the company should work with hig-values component to ensure that the product will last for as long as possible and yo make sensto to the take back program. </t>
        </is>
      </c>
      <c r="L67" s="46" t="inlineStr">
        <is>
          <t>Which are the drivers that make the market grow in a specific sector for reuse?
How can the company create a closed loop that supports its own economy through reused products?
How the products can be redesigned to best fulfil the take-back program in the reuse domain?
When the return will occur?
Will the product be returned?
How is it possible to facilitate the return of the product to customers?
Where the product will be take-back in the first, second, third, etc. loop?
Which legislation will apply to products in the geographical areas where the product will be took-back?
Who is responsible for the taking-back product in the first, second, third, etc. loop?</t>
        </is>
      </c>
      <c r="M67" s="46" t="n">
        <v>137</v>
      </c>
      <c r="N67" s="46" t="inlineStr">
        <is>
          <t xml:space="preserve">Klausner, M., &amp; Hendrickson, C. T. (2000). Reverse-Logistics Strategy for Product Take-Back. INFORMS Journal on Applied Analytics, 30(3), 156–165.
Toktay, L. B., van der Laan, E., &amp; de Brito, M. P. (2003). Managing Product Returns: The Role of Forecasting (SSRN Scholarly Paper N. ID 411657). Recuperato da Social Science Research Network 
Kumar, S., &amp; Putnam, V. (2008). Cradle to cradle: Reverse logistics strategies and opportunities across three industry sectors. International Journal of Production Economics, 115(2), 305–315.
</t>
        </is>
      </c>
      <c r="O67" s="46" t="n"/>
      <c r="P67" s="46" t="n">
        <v>1</v>
      </c>
      <c r="Q67" s="46" t="n"/>
      <c r="R67" s="46" t="inlineStr">
        <is>
          <t>LOOP 1,LOOP N,LAST LOOP</t>
        </is>
      </c>
      <c r="S67" s="46" t="inlineStr">
        <is>
          <t>Processes,Systems</t>
        </is>
      </c>
      <c r="T67" s="46" t="n"/>
      <c r="U67" s="46" t="n"/>
      <c r="V67" s="46" t="n"/>
      <c r="W67" s="46" t="n"/>
      <c r="X67" s="46" t="n"/>
    </row>
    <row r="68" hidden="1" ht="75" customHeight="1" s="76">
      <c r="A68" s="73" t="inlineStr">
        <is>
          <t>reverse</t>
        </is>
      </c>
      <c r="B68" s="73" t="n">
        <v>60</v>
      </c>
      <c r="C68" s="73" t="inlineStr">
        <is>
          <t>Df Reuse</t>
        </is>
      </c>
      <c r="D68" s="62" t="inlineStr">
        <is>
          <t>Df Closed-loop Reverse Supply Chain</t>
        </is>
      </c>
      <c r="E68" s="63" t="inlineStr">
        <is>
          <t>Df Traceability</t>
        </is>
      </c>
      <c r="F68" s="73" t="n">
        <v>1</v>
      </c>
      <c r="G68" s="73" t="n"/>
      <c r="H68" s="73" t="inlineStr">
        <is>
          <t>Implement product identification systems enabling tracking throughout lifecycle. Create databases documenting material composition, treatment history, and previous ownership. Use standardized marking systems (barcodes, QR codes, RFID). Share relevant information across stakeholders.</t>
        </is>
      </c>
      <c r="I68" s="73" t="inlineStr">
        <is>
          <t xml:space="preserve">Design for the Traceability of a product lies in the capacity to recognize the place where a product is or was in the past. This strategy is important because the company can trace the product in order to make the process and loops distinguishable. This could help the company to easily identify and monitor ipotetically the age of the each parts of the product. </t>
        </is>
      </c>
      <c r="J68" s="73" t="inlineStr">
        <is>
          <t>All products benefit, particularly those entering secondary markets or multiple ownership cycles. Essential for products with material or safety significance.</t>
        </is>
      </c>
      <c r="K68" s="73" t="inlineStr">
        <is>
          <t>Unique identification enables tracking. History documented and accessible. Standardized marking systems. Privacy balanced with transparency.</t>
        </is>
      </c>
      <c r="L68" s="73" t="inlineStr">
        <is>
          <t>• What product data should be tracked across the supply chain?
• What digital systems (blockchain, QR codes, RFID) enable traceability?
• How is product history communicated to secondary users?
• What traceability data supports repair, refurbishment, and recycling?
• How can traceability be implemented without creating surveillance?
• How does traceability affect product design and manufacturing?</t>
        </is>
      </c>
      <c r="M68" s="73" t="n">
        <v>123</v>
      </c>
      <c r="N68" s="73" t="inlineStr">
        <is>
          <t>Ellen MacArthur Foundation. (2015). Growth within: A circular economy vision for a competitive Europe.
Geissdoerfer, M., Savaget, P., Bocken, N. M., &amp; Hultink, E. J. (2017). The circular economy–a new sustainability paradigm? Journal of Cleaner Production, 143, 757-768. https://doi.org/10.1016/j.jclepro.2016.12.048</t>
        </is>
      </c>
      <c r="O68" s="73" t="n"/>
      <c r="P68" s="73" t="n">
        <v>1</v>
      </c>
      <c r="Q68" s="73" t="n"/>
      <c r="R68" s="73" t="inlineStr">
        <is>
          <t>LOOP 1,LOOP N,LAST LOOP</t>
        </is>
      </c>
      <c r="S68" s="73" t="inlineStr">
        <is>
          <t>Processes,Systems</t>
        </is>
      </c>
      <c r="T68" s="73" t="n"/>
      <c r="U68" s="73" t="n"/>
      <c r="V68" s="73" t="n"/>
      <c r="W68" s="73" t="n"/>
      <c r="X68" s="73" t="n"/>
    </row>
    <row r="69" hidden="1" ht="75" customHeight="1" s="76">
      <c r="A69" s="46" t="inlineStr">
        <is>
          <t>reverse</t>
        </is>
      </c>
      <c r="B69" s="46" t="n">
        <v>61</v>
      </c>
      <c r="C69" s="46" t="inlineStr">
        <is>
          <t>Df Reuse</t>
        </is>
      </c>
      <c r="D69" s="62" t="inlineStr">
        <is>
          <t>Df Closed-loop Reverse Supply Chain</t>
        </is>
      </c>
      <c r="E69" s="63" t="inlineStr">
        <is>
          <t>Df Appropriate Logistics Infrastructure</t>
        </is>
      </c>
      <c r="F69" s="46" t="n">
        <v>1</v>
      </c>
      <c r="G69" s="46" t="n"/>
      <c r="H69" s="46" t="inlineStr">
        <is>
          <t>Map infrastructure requirements for product collection and recovery. Design products compatible with available logistics networks. Establish partnerships with logistics providers. Develop standardized packaging supporting efficient movement.</t>
        </is>
      </c>
      <c r="I69" s="46" t="inlineStr">
        <is>
          <t xml:space="preserve">Design for Appropriate Logistics Infrastructure is a systemic and strategic decision approach that joint distribution and collection. In this strategy the production is located near by the recovery center in order to facilitate the logistic of new and used products. This strategy help also to coordinate the    repair process and the use of spare parts. </t>
        </is>
      </c>
      <c r="J69" s="46" t="inlineStr">
        <is>
          <t>All products entering secondary cycles. Particularly important where infrastructure is limited or fragmented.</t>
        </is>
      </c>
      <c r="K69" s="46" t="inlineStr">
        <is>
          <t>Designs compatible with available infrastructure. Partnerships with providers established. Logistics optimized for efficiency. Standardized packaging implemented.</t>
        </is>
      </c>
      <c r="L69" s="46" t="inlineStr">
        <is>
          <t>• What logistics infrastructure is needed to support product returns?
• How should collection points, distribution centers, and repair facilities be located?
• What product design accommodates available logistics equipment?
• How can logistics infrastructure be shared across products or companies?
• What handling procedures preserve product condition during returns?
• How should logistics infrastructure be scaled as volume increases?</t>
        </is>
      </c>
      <c r="M69" s="46" t="n">
        <v>121</v>
      </c>
      <c r="N69" s="46" t="inlineStr">
        <is>
          <t>Fleischmann, M., Beullens, P., Bloemhof‐Ruwaard, J. M., &amp; Wassenhove, L. N. V. (2001). The Impact of Product Recovery on Logistics Network Design. Production and Operations Management, 10(2), 156–173.</t>
        </is>
      </c>
      <c r="O69" s="46" t="n"/>
      <c r="P69" s="46" t="n"/>
      <c r="Q69" s="46" t="inlineStr">
        <is>
          <t>Df Circular Business Model,Df Closed-loop Reverse Supply Chain</t>
        </is>
      </c>
      <c r="R69" s="46" t="inlineStr">
        <is>
          <t>LOOP 1,LOOP N,LAST LOOP</t>
        </is>
      </c>
      <c r="S69" s="46" t="inlineStr">
        <is>
          <t>Processes,Systems</t>
        </is>
      </c>
      <c r="T69" s="46" t="n"/>
      <c r="U69" s="46" t="n"/>
      <c r="V69" s="46" t="n"/>
      <c r="W69" s="46" t="n"/>
      <c r="X69" s="46" t="n"/>
    </row>
    <row r="70" hidden="1" ht="75" customHeight="1" s="76">
      <c r="A70" s="73" t="inlineStr">
        <is>
          <t>reverse</t>
        </is>
      </c>
      <c r="B70" s="73" t="n">
        <v>62</v>
      </c>
      <c r="C70" s="73" t="inlineStr">
        <is>
          <t>Df Reuse</t>
        </is>
      </c>
      <c r="D70" s="62" t="inlineStr">
        <is>
          <t>Df Closed-loop Reverse Supply Chain</t>
        </is>
      </c>
      <c r="E70" s="63" t="inlineStr">
        <is>
          <t>Df Reverse Logistic</t>
        </is>
      </c>
      <c r="F70" s="73" t="n">
        <v>1</v>
      </c>
      <c r="G70" s="73" t="n"/>
      <c r="H70" s="73" t="inlineStr">
        <is>
          <t>Design reverse logistics networks collecting and sorting used products. Establish convenient collection points aligned with user behavior and location. Implement quality assessment routing products appropriately. Use economies of scale optimizing transportation efficiency.</t>
        </is>
      </c>
      <c r="I70" s="73" t="inlineStr">
        <is>
          <t xml:space="preserve">The responsibility for the management of this process is related to the earlier decision of open or close reverse supply chain network. Products that have been collected have to be transferred to be tested and sorted for reusability to the inspection centres. In this strategy, the designers should considerate not just the cost of the reverse logistic, but also if the product will get obsolete during the transportation process and how to control the product during this phase. </t>
        </is>
      </c>
      <c r="J70" s="73" t="inlineStr">
        <is>
          <t>All products in circular loops. Effective where collection can be integrated with existing distribution. Works where product value justifies collection costs.</t>
        </is>
      </c>
      <c r="K70" s="73" t="inlineStr">
        <is>
          <t>Convenient collection points distributed accessibly. Sorting systems route products efficiently. Quality assessment enables appropriate recovery. Transportation optimized for efficiency.</t>
        </is>
      </c>
      <c r="L70" s="73" t="inlineStr">
        <is>
          <t>Who are executing reverse logistic activities?</t>
        </is>
      </c>
      <c r="M70" s="73" t="n">
        <v>94</v>
      </c>
      <c r="N70" s="73" t="inlineStr">
        <is>
          <t>Ellen MacArthur Foundation. (2015). Growth within: A circular economy vision for a competitive Europe.
Lacy, P., &amp; Rutqvist, J. (2015). Waste to wealth: The circular economy advantage. Palgrave Macmillan.</t>
        </is>
      </c>
      <c r="O70" s="73" t="n"/>
      <c r="P70" s="73" t="n"/>
      <c r="Q70" s="73" t="n"/>
      <c r="R70" s="73" t="inlineStr">
        <is>
          <t>LOOP 1,LOOP N,LAST LOOP</t>
        </is>
      </c>
      <c r="S70" s="73" t="inlineStr">
        <is>
          <t>Processes,Systems</t>
        </is>
      </c>
      <c r="T70" s="73" t="n"/>
      <c r="U70" s="73" t="n"/>
      <c r="V70" s="73" t="n"/>
      <c r="W70" s="73" t="n"/>
      <c r="X70" s="73" t="n"/>
    </row>
    <row r="71" hidden="1" ht="75" customHeight="1" s="76">
      <c r="A71" s="46" t="inlineStr">
        <is>
          <t>reverse</t>
        </is>
      </c>
      <c r="B71" s="46" t="n">
        <v>63</v>
      </c>
      <c r="C71" s="46" t="inlineStr">
        <is>
          <t>Df Reuse</t>
        </is>
      </c>
      <c r="D71" s="34" t="inlineStr">
        <is>
          <t>Df Closed-loop Reverse Supply Chain</t>
        </is>
      </c>
      <c r="E71" s="55" t="inlineStr">
        <is>
          <t>Df Closed-loop Reverse Supply Chain</t>
        </is>
      </c>
      <c r="F71" s="46" t="n">
        <v>1</v>
      </c>
      <c r="G71" s="46" t="n"/>
      <c r="H71" s="46" t="inlineStr">
        <is>
          <t>Design closed-loop systems where recovered materials re-enter the same manufacturing processes. Establish quality standards ensuring recovered materials meet original specifications. Build supply relationships with material recovery partners. Optimize design for recovered material properties.</t>
        </is>
      </c>
      <c r="I71" s="46" t="inlineStr">
        <is>
          <t>In the Design for Closed-loop Reverse Supply Chain strategy, designers ensure that products are recaptured and reused by the same original producer or whoever for it. For the original producer, if the strategy is well implemented, it can be higher profits than the open-loop strategy. The main challenge in this strategy is to develop an efficient reverse logistics network to collect and clean used products to sell them again.</t>
        </is>
      </c>
      <c r="J71" s="46" t="inlineStr">
        <is>
          <t>Metal products with established recycling. Plastics compatible with recycling streams. Closed-loop systems where material quality can be maintained.</t>
        </is>
      </c>
      <c r="K71" s="46" t="inlineStr">
        <is>
          <t>Material quality meets original specifications. Closed-loop manufacturing processes. Partnership with recovery organizations. Material properties optimized for reuse.</t>
        </is>
      </c>
      <c r="L71" s="46" t="inlineStr">
        <is>
          <t>What type of obsolescence the product can undergo?
Do all parts of the product age equally or not?
Does the value of the product decline fast?
How the product flow will be manage?
Which storage capacity the company can afford to have a closed-loop?
On which network the open-loop company will rely on in order to preserve the value-added in the first loop? And how this network will co-financing the added-values of the product to the original manufacturer to make a cost-effective business for all?</t>
        </is>
      </c>
      <c r="M71" s="46" t="n">
        <v>63</v>
      </c>
      <c r="N71" s="46" t="inlineStr">
        <is>
          <t>Bakker, C., Wang, F., Huisman, J., &amp; den Hollander, M. (2014). Products that go round: Exploring product life extension through design. Journal of Cleaner Production, 69, 10-16. https://doi.org/10.1016/j.jclepro.2014.01.028
Ellen MacArthur Foundation. (2015). Growth within: A circular economy vision for a competitive Europe.</t>
        </is>
      </c>
      <c r="O71" s="46" t="n"/>
      <c r="P71" s="46" t="n">
        <v>1</v>
      </c>
      <c r="Q71" s="46" t="n"/>
      <c r="R71" s="46" t="inlineStr">
        <is>
          <t>LOOP 1,LOOP N,LAST LOOP</t>
        </is>
      </c>
      <c r="S71" s="46" t="inlineStr">
        <is>
          <t>Processes,Systems</t>
        </is>
      </c>
      <c r="T71" s="46" t="n"/>
      <c r="U71" s="46" t="n"/>
      <c r="V71" s="46" t="n"/>
      <c r="W71" s="46" t="n"/>
      <c r="X71" s="46" t="n"/>
    </row>
    <row r="72" hidden="1" ht="75" customHeight="1" s="76">
      <c r="A72" s="73" t="inlineStr">
        <is>
          <t>reverse</t>
        </is>
      </c>
      <c r="B72" s="64" t="n">
        <v>142</v>
      </c>
      <c r="C72" s="73" t="inlineStr">
        <is>
          <t>Df Reuse</t>
        </is>
      </c>
      <c r="D72" s="34" t="inlineStr">
        <is>
          <t>Df Closed-loop Reverse Supply Chain</t>
        </is>
      </c>
      <c r="E72" s="65" t="inlineStr">
        <is>
          <t>Df Return on the Go</t>
        </is>
      </c>
      <c r="F72" s="73" t="n">
        <v>1</v>
      </c>
      <c r="G72" s="67" t="n"/>
      <c r="H72" s="67" t="inlineStr">
        <is>
          <t>Design convenient return mechanisms enabling users to return products without transportation burden. Establish return points integrated with existing retail or service locations. Provide incentives offsetting return inconvenience. Use collection vehicles or delivery services enabling convenient return.</t>
        </is>
      </c>
      <c r="I72" s="67" t="inlineStr">
        <is>
          <t>Return on the go strategies enable convenient product returns integrated into user routines and existing infrastructure rather than requiring dedicated trips to collection centers. By placing return options at convenient locations—retail storefronts, transit hubs, delivery points—companies significantly increase participation rates in take-back programs. Products designed for on-the-go returns must accommodate compact packaging, standardized containers, and rapid handling by non-specialized staff. This approach dramatically improves the feasibility of reuse and refurbishment systems.</t>
        </is>
      </c>
      <c r="J72" s="67" t="inlineStr">
        <is>
          <t>All products in take-back systems. Particularly important where transportation is barrier to participation. Effective in urban areas with service networks.</t>
        </is>
      </c>
      <c r="K72" s="67" t="inlineStr">
        <is>
          <t>Convenient, low-friction return. Integration with existing services. Incentive structures. Collection integrated with delivery systems.</t>
        </is>
      </c>
      <c r="L72" s="67" t="inlineStr">
        <is>
          <t>• What existing locations (retailers, transit hubs, delivery points) can serve as return centers?
• How should products be packaged for convenient on-the-go returns?
• What incentives (refunds, loyalty points, convenience) motivate immediate returns?
• How can return processes be designed for speed and ease?
• What product condition assessment can happen at point-of-return?
• How should returned products be transported from collection to processing?</t>
        </is>
      </c>
      <c r="M72" s="67" t="n">
        <v>121</v>
      </c>
      <c r="N72" s="67" t="inlineStr">
        <is>
          <t>Reuse, Rethinking Packaging. Ellen MacArthur Foundation.</t>
        </is>
      </c>
      <c r="O72" s="67" t="n"/>
      <c r="P72" s="67" t="n"/>
      <c r="Q72" s="67" t="n"/>
      <c r="R72" s="73" t="inlineStr">
        <is>
          <t>LOOP 1,LOOP N,LAST LOOP</t>
        </is>
      </c>
      <c r="S72" s="73" t="inlineStr">
        <is>
          <t>Processes,Systems</t>
        </is>
      </c>
      <c r="T72" s="67" t="n"/>
      <c r="U72" s="67" t="n"/>
      <c r="V72" s="67" t="n"/>
      <c r="W72" s="67" t="n"/>
      <c r="X72" s="67" t="n"/>
    </row>
    <row r="73" hidden="1" ht="75" customHeight="1" s="76">
      <c r="A73" s="46" t="inlineStr">
        <is>
          <t>reverse</t>
        </is>
      </c>
      <c r="B73" s="46" t="n">
        <v>64</v>
      </c>
      <c r="C73" s="46" t="inlineStr">
        <is>
          <t>Df Reuse</t>
        </is>
      </c>
      <c r="D73" s="34" t="inlineStr">
        <is>
          <t>Df Open-loop Reverse Supply Chain</t>
        </is>
      </c>
      <c r="E73" s="55" t="inlineStr">
        <is>
          <t>Df Centralized Returns Centers</t>
        </is>
      </c>
      <c r="F73" s="46" t="n">
        <v>1</v>
      </c>
      <c r="G73" s="46" t="n"/>
      <c r="H73" s="46" t="inlineStr">
        <is>
          <t>Establish centralized assessment and sorting facilities receiving all used products. Implement sophisticated quality assessment and sorting systems. Enable economies of scale in assessment and logistics. Route products to appropriate recovery pathways.</t>
        </is>
      </c>
      <c r="I73" s="46" t="inlineStr">
        <is>
          <t xml:space="preserve">Within the open-loop reverse supply chain, products are recovered for reuse by different companies from the original producer. By using this strategy different companies can recapture the value of products. Usually, this company are small and middle size enterprises. To afford the collection of used products from users, they can assign this task to third party that can have multiple companies with they can work with.  </t>
        </is>
      </c>
      <c r="J73" s="46" t="inlineStr">
        <is>
          <t>Products with complex material compositions requiring assessment expertise. Effective with sufficient collection volume justifying facility investment.</t>
        </is>
      </c>
      <c r="K73" s="46" t="inlineStr">
        <is>
          <t>Centralized facilities with expert assessment. Sophisticated sorting enables appropriate routing. Economies of scale achieved. Quality standards maintained.</t>
        </is>
      </c>
      <c r="L73" s="46" t="inlineStr">
        <is>
          <t xml:space="preserve">How many local collection points can be established? </t>
        </is>
      </c>
      <c r="M73" s="46" t="n">
        <v>94</v>
      </c>
      <c r="N73" s="46" t="inlineStr">
        <is>
          <t>Gou, Q., Liang, L., Huang, Z., &amp; Xu, C. (2008). A joint inventory model for an open-loop reverse supply chain. International Journal of Production Economics, 116(1), 28–42. https://doi.org/10.1016/j.ijpe.2008.07.009</t>
        </is>
      </c>
      <c r="O73" s="46" t="n"/>
      <c r="P73" s="46" t="n">
        <v>1</v>
      </c>
      <c r="Q73" s="46" t="n"/>
      <c r="R73" s="46" t="inlineStr">
        <is>
          <t>LOOP 1,LOOP N,LAST LOOP</t>
        </is>
      </c>
      <c r="S73" s="46" t="inlineStr">
        <is>
          <t>Processes,Systems</t>
        </is>
      </c>
      <c r="T73" s="46" t="n"/>
      <c r="U73" s="46" t="n"/>
      <c r="V73" s="46" t="n"/>
      <c r="W73" s="46" t="n"/>
      <c r="X73" s="46" t="n"/>
    </row>
    <row r="74" hidden="1" ht="75" customHeight="1" s="76">
      <c r="A74" s="73" t="inlineStr">
        <is>
          <t>reverse</t>
        </is>
      </c>
      <c r="B74" s="73" t="n">
        <v>65</v>
      </c>
      <c r="C74" s="73" t="inlineStr">
        <is>
          <t>Df Reuse</t>
        </is>
      </c>
      <c r="D74" s="34" t="inlineStr">
        <is>
          <t>Df Open-loop Reverse Supply Chain</t>
        </is>
      </c>
      <c r="E74" s="55" t="inlineStr">
        <is>
          <t>Df Used Product Control</t>
        </is>
      </c>
      <c r="F74" s="73" t="n">
        <v>1</v>
      </c>
      <c r="G74" s="73" t="n"/>
      <c r="H74" s="73" t="inlineStr">
        <is>
          <t>Implement systems monitoring used product quality and condition throughout recovery processes. Use standardized assessment procedures ensuring consistent evaluation. Implement tracking systems documenting product history and quality. Segregate products by condition and recovery potential.</t>
        </is>
      </c>
      <c r="I74" s="73" t="inlineStr">
        <is>
          <t>Used product control encompasses the systems and processes for assessing, sorting, documenting, and directing recovered products toward appropriate end-of-life pathways. Effective control ensures that repairable products go to refurbishment, those unsuitable for reuse go to material recovery, and damaged or unsafe items are properly managed. Strong used product control maximizes recovery value while preventing poor-quality products from damaging brand reputation in secondary markets. Design impacts control feasibility through modularity, material identification, and condition standardization.</t>
        </is>
      </c>
      <c r="J74" s="73" t="inlineStr">
        <is>
          <t>All recovered products benefit from quality control. Critical for products entering secondary markets building consumer confidence.</t>
        </is>
      </c>
      <c r="K74" s="73" t="inlineStr">
        <is>
          <t>Standardized assessment procedures. Tracking documents history and quality. Segregation enables appropriate routing. Transparency builds confidence.</t>
        </is>
      </c>
      <c r="L74" s="73" t="inlineStr">
        <is>
          <t>• What condition assessment criteria determine product end-of-life pathway?
• How should products be sorted and directed for reuse vs. refurbishment vs. recycling?
• What documentation systems track product history and condition data?
• How can design features aid rapid condition assessment by non-experts?
• What safety and quality standards ensure product suitability for reuse?
• How should products unsuitable for recovery be managed responsibly?</t>
        </is>
      </c>
      <c r="M74" s="73" t="n">
        <v>126</v>
      </c>
      <c r="N74" s="73" t="inlineStr">
        <is>
          <t>Lacy, P., &amp; Rutqvist, J. (2015). Waste to wealth: The circular economy advantage. Palgrave Macmillan.
Ellen MacArthur Foundation. (2015). Growth within: A circular economy vision for a competitive Europe.
Geissdoerfer, M., Savaget, P., Bocken, N. M., &amp; Hultink, E. J. (2017). The circular economy–a new sustainability paradigm? Journal of Cleaner Production, 143, 757-768.</t>
        </is>
      </c>
      <c r="O74" s="73" t="n"/>
      <c r="P74" s="73" t="n">
        <v>1</v>
      </c>
      <c r="Q74" s="73" t="n"/>
      <c r="R74" s="73" t="inlineStr">
        <is>
          <t>LOOP 1,LOOP N,LAST LOOP</t>
        </is>
      </c>
      <c r="S74" s="73" t="inlineStr">
        <is>
          <t>Processes,Systems</t>
        </is>
      </c>
      <c r="T74" s="73" t="n"/>
      <c r="U74" s="73" t="n"/>
      <c r="V74" s="73" t="n"/>
      <c r="W74" s="73" t="n"/>
      <c r="X74" s="73" t="n"/>
    </row>
    <row r="75" hidden="1" ht="75" customHeight="1" s="76">
      <c r="A75" s="46" t="inlineStr">
        <is>
          <t>reverse</t>
        </is>
      </c>
      <c r="B75" s="46" t="n">
        <v>66</v>
      </c>
      <c r="C75" s="46" t="inlineStr">
        <is>
          <t>Df Reuse</t>
        </is>
      </c>
      <c r="D75" s="34" t="inlineStr">
        <is>
          <t>Df Open-loop Reverse Supply Chain</t>
        </is>
      </c>
      <c r="E75" s="34" t="inlineStr">
        <is>
          <t>Df Open-loop Reverse Supply Chain</t>
        </is>
      </c>
      <c r="F75" s="46" t="n">
        <v>1</v>
      </c>
      <c r="G75" s="46" t="n"/>
      <c r="H75" s="46" t="inlineStr">
        <is>
          <t>Design systems where recovered materials enter diverse secondary uses without returning to original manufacturer. Establish partnerships with diverse secondary users. Document material properties supporting varied applications. Enable material redistribution to multiple industries.</t>
        </is>
      </c>
      <c r="I75" s="46" t="inlineStr">
        <is>
          <t xml:space="preserve">In the Design for Open-loop Reverse Supply Chain strategy, designers ensure that products are recaptured by partner companies. This synergy between many companies must ensure a win-win situation and the full-control of products and network. </t>
        </is>
      </c>
      <c r="J75" s="46" t="inlineStr">
        <is>
          <t>Materials suitable for diverse applications. Effective where diverse end uses prevent true closed-loop systems. Works where material value justifies distribution across industries.</t>
        </is>
      </c>
      <c r="K75" s="46" t="inlineStr">
        <is>
          <t>Material properties support diverse applications. Partnerships with varied industries. Documentation enables repurposing. Distribution systems established.</t>
        </is>
      </c>
      <c r="L75" s="46" t="inlineStr">
        <is>
          <t>Who is going to manage of the recover of the discarded product?  Which business partnership can be reach for a win-win situation?</t>
        </is>
      </c>
      <c r="M75" s="46" t="n">
        <v>66</v>
      </c>
      <c r="N75" s="46" t="inlineStr">
        <is>
          <t>Ellen MacArthur Foundation. (2015). Growth within: A circular economy vision for a competitive Europe.
Tukker, A. (2015). Product services for a resource-efficient and circular economy. Journal of Cleaner Production, 97, 76-91.</t>
        </is>
      </c>
      <c r="O75" s="46" t="n"/>
      <c r="P75" s="46" t="n">
        <v>1</v>
      </c>
      <c r="Q75" s="46" t="n"/>
      <c r="R75" s="46" t="inlineStr">
        <is>
          <t>LOOP 1,LOOP N,LAST LOOP</t>
        </is>
      </c>
      <c r="S75" s="46" t="inlineStr">
        <is>
          <t>Processes,Systems</t>
        </is>
      </c>
      <c r="T75" s="46" t="n"/>
      <c r="U75" s="46" t="n"/>
      <c r="V75" s="46" t="n"/>
      <c r="W75" s="46" t="n"/>
      <c r="X75" s="46" t="n"/>
    </row>
    <row r="76" hidden="1" ht="75" customHeight="1" s="76">
      <c r="A76" s="73" t="inlineStr">
        <is>
          <t>recovery</t>
        </is>
      </c>
      <c r="B76" s="73" t="n">
        <v>67</v>
      </c>
      <c r="C76" s="73" t="inlineStr">
        <is>
          <t>Df Reuse</t>
        </is>
      </c>
      <c r="D76" s="68" t="inlineStr">
        <is>
          <t xml:space="preserve">Df Cleaning </t>
        </is>
      </c>
      <c r="E76" s="69" t="inlineStr">
        <is>
          <t>Df Inspection</t>
        </is>
      </c>
      <c r="F76" s="73" t="n">
        <v>1</v>
      </c>
      <c r="G76" s="73" t="n"/>
      <c r="H76" s="73" t="inlineStr">
        <is>
          <t>The primary issue not just at the cleaning phase, but all the way through the maintenance process is timing. Involving the contractor early in the product development stage allows both sides to work everything in tandem at the beginning in order to facilitate this proces.</t>
        </is>
      </c>
      <c r="I76" s="73" t="inlineStr">
        <is>
          <t>Inspection is the critical first step in post-consumer product recovery, determining whether items are suitable for reuse, requiring refurbishment, or should be sent for material recovery. Comprehensive inspection identifies component-level failures, cosmetic damage, and safety issues informing sorting decisions. Products designed for easier inspection—modular construction, accessible test points, clear condition indicators—reduce assessment time and accuracy risk. Effective inspection prevents safety liabilities while maximizing recovery value.</t>
        </is>
      </c>
      <c r="J76" s="73" t="inlineStr">
        <is>
          <t>All recovered products benefit. Critical for building confidence in refurbished and remanufactured products. Enables quality differentiation.</t>
        </is>
      </c>
      <c r="K76" s="73" t="inlineStr">
        <is>
          <t>Standardized assessment criteria. Comprehensive documentation. Results drive routing decisions. Data supports continuous improvement.</t>
        </is>
      </c>
      <c r="L76" s="73" t="inlineStr">
        <is>
          <t>• What damage, wear, and failure patterns should inspectors identify?
• How can products be designed for rapid, non-destructive inspection?
• What test procedures or assessment tools identify functional issues?
• How should cosmetic versus functional damage be weighted in assessment?
• What training and standardization ensure consistent inspection quality?
• How should inspection data be documented for tracking and refurbishment?</t>
        </is>
      </c>
      <c r="M76" s="73" t="n">
        <v>137</v>
      </c>
      <c r="N76" s="73" t="inlineStr">
        <is>
          <t>Matt Schultz, &amp; Rod Soat . Design for Inspection: The Key to Lower Cost and Higher Profit Margins.  https://www.medicaldesignbriefs.com/component/content/article/mdb/features/articles/27723</t>
        </is>
      </c>
      <c r="O76" s="73" t="n"/>
      <c r="P76" s="73" t="n">
        <v>1</v>
      </c>
      <c r="Q76" s="73" t="inlineStr">
        <is>
          <t>Df Circular Business Model,Df Closed-loop Reverse Supply Chain</t>
        </is>
      </c>
      <c r="R76" s="73" t="inlineStr">
        <is>
          <t>LOOP 1,LOOP N,LAST LOOP</t>
        </is>
      </c>
      <c r="S76" s="73" t="inlineStr">
        <is>
          <t>Materials,Components,Products</t>
        </is>
      </c>
      <c r="T76" s="73" t="n"/>
      <c r="U76" s="73" t="n"/>
      <c r="V76" s="73" t="n"/>
      <c r="W76" s="73" t="n"/>
      <c r="X76" s="73" t="n"/>
    </row>
    <row r="77" hidden="1" ht="75" customHeight="1" s="76">
      <c r="A77" s="46" t="inlineStr">
        <is>
          <t>recovery</t>
        </is>
      </c>
      <c r="B77" s="46" t="n">
        <v>68</v>
      </c>
      <c r="C77" s="46" t="inlineStr">
        <is>
          <t>Df Reuse</t>
        </is>
      </c>
      <c r="D77" s="68" t="inlineStr">
        <is>
          <t xml:space="preserve">Df Cleaning </t>
        </is>
      </c>
      <c r="E77" s="69" t="inlineStr">
        <is>
          <t>Df Quality-testing</t>
        </is>
      </c>
      <c r="F77" s="46" t="n">
        <v>1</v>
      </c>
      <c r="G77" s="46" t="n"/>
      <c r="H77" s="46" t="inlineStr">
        <is>
          <t>Implement rigorous quality testing confirming recovered products meet original performance standards. Use standardized test protocols enabling comparison with new products. Document all test results transparently. Build consumer confidence through quality certification.</t>
        </is>
      </c>
      <c r="I77" s="46" t="inlineStr">
        <is>
          <t>Design for Quality-testing is a testing control of the product recovered. Many techniques can be performed in order to determine if the product is still qualitative acceptable, but this is dipends to the product under consideration. Some tests involve visual inspections testing and/or functional testing. Different testing can help to evaluate different factors, such as aesthetic, functional, mechanical, and software factors. The complexity of this strategy tends to increase for decrising volumes. 
In desining for quality-testing it is important to take in consideration:
- Determining the feasibility of the recovery process.
- Verification of the backup facilities.
- Ensuring proper steps are documented to verify the compatibility of backup facilities.
- Providing Training within the team.
- Demonstrating the ability of the organization to recover from all critical failures.
- Maintaining and updating the recovery plan at regular intervals.</t>
        </is>
      </c>
      <c r="J77" s="46" t="inlineStr">
        <is>
          <t>All refurbished and remanufactured products. Essential for building market demand and premium pricing. Critical for products with performance or safety significance.</t>
        </is>
      </c>
      <c r="K77" s="46" t="inlineStr">
        <is>
          <t>Rigorous testing protocols applied. Results documented and transparent. Performance matches original standards. Certification builds confidence.</t>
        </is>
      </c>
      <c r="L77" s="46" t="inlineStr">
        <is>
          <t>• What performance standards must refurbished products meet?
• What accelerated testing protocols validate longevity after refurbishment?
• How should safety testing be conducted on recovered products?
• What cosmetic restoration is appropriate for different market segments?
• How should quality-testing results be documented and warranted?
• What testing frequency ensures ongoing quality assurance?</t>
        </is>
      </c>
      <c r="M77" s="46" t="n">
        <v>127</v>
      </c>
      <c r="N77" s="46" t="inlineStr">
        <is>
          <t>Guide, V. D. R., Jayaraman, V., &amp; Linton, J. D. (2003). Building contingency planning for closed-loop supply chains with product recovery. Journal of Operations Management, 21(3), 259–279. https://doi.org/10.1016/S0272-6963(02)00110-9</t>
        </is>
      </c>
      <c r="O77" s="46" t="n"/>
      <c r="P77" s="46" t="n">
        <v>1</v>
      </c>
      <c r="Q77" s="46" t="inlineStr">
        <is>
          <t>Df Circular Business Model,Df Closed-loop Reverse Supply Chain</t>
        </is>
      </c>
      <c r="R77" s="46" t="inlineStr">
        <is>
          <t>LOOP 1,LOOP N,LAST LOOP</t>
        </is>
      </c>
      <c r="S77" s="46" t="inlineStr">
        <is>
          <t>Materials,Components,Products</t>
        </is>
      </c>
      <c r="T77" s="46" t="n"/>
      <c r="U77" s="46" t="n"/>
      <c r="V77" s="46" t="n"/>
      <c r="W77" s="46" t="n"/>
      <c r="X77" s="46" t="n"/>
    </row>
    <row r="78" hidden="1" ht="75" customHeight="1" s="76">
      <c r="A78" s="73" t="inlineStr">
        <is>
          <t>recovery</t>
        </is>
      </c>
      <c r="B78" s="73" t="n">
        <v>69</v>
      </c>
      <c r="C78" s="73" t="inlineStr">
        <is>
          <t>Df Reuse</t>
        </is>
      </c>
      <c r="D78" s="68" t="inlineStr">
        <is>
          <t xml:space="preserve">Df Cleaning </t>
        </is>
      </c>
      <c r="E78" s="68" t="inlineStr">
        <is>
          <t xml:space="preserve">Df Cleaning </t>
        </is>
      </c>
      <c r="F78" s="73" t="n">
        <v>1</v>
      </c>
      <c r="G78" s="73" t="n"/>
      <c r="H78" s="73" t="inlineStr">
        <is>
          <t>Design products enabling efficient cleaning using standard methods and materials. Use non-porous, smooth surfaces resisting staining and contamination. Minimize crevices trapping dirt. Enable disassembly for thorough internal cleaning.</t>
        </is>
      </c>
      <c r="I78" s="73" t="inlineStr">
        <is>
          <t xml:space="preserve">Design for cleaning is a strategy that define how the product can be cleaned in order to be prepered for a new lifecycle. The cleaning processes can be really different depending on products, materials used, localization of the cleaning process, etc. In this strategy, the designer should determinate which part of the product will need to be cleaned and facilitate the cleaning of them. </t>
        </is>
      </c>
      <c r="J78" s="73" t="inlineStr">
        <is>
          <t>Reusable products in sharing systems, food contact items, furniture. Essential for hygiene-sensitive products. Works where cleaning is frequent and necessary.</t>
        </is>
      </c>
      <c r="K78" s="73" t="inlineStr">
        <is>
          <t>Non-porous surfaces. Smooth geometry prevents accumulation. Standard cleaning methods effective. Disassembly enables thorough cleaning.</t>
        </is>
      </c>
      <c r="L78" s="73" t="inlineStr">
        <is>
          <t>• What cleaning processes are necessary for used products?
• How should cleaning methods avoid damaging products?
• What materials and products should be used for cleaning?
• How can cleaning processes be scaled efficiently?
• What waste streams result from cleaning, and how should they be managed?
• How does design facilitate effective cleaning and restoration?</t>
        </is>
      </c>
      <c r="M78" s="73" t="n">
        <v>126</v>
      </c>
      <c r="N78" s="73" t="inlineStr">
        <is>
          <t>Bakker, C., Wang, F., Huisman, J., &amp; den Hollander, M. (2014). Products that go round: Exploring product life extension through design. Journal of Cleaner Production, 69, 10-16.
Ellen MacArthur Foundation. (2015). Growth within: A circular economy vision for a competitive Europe.</t>
        </is>
      </c>
      <c r="O78" s="73" t="n"/>
      <c r="P78" s="73" t="n">
        <v>1</v>
      </c>
      <c r="Q78" s="73" t="n"/>
      <c r="R78" s="73" t="inlineStr">
        <is>
          <t>LOOP 1,LOOP N,LAST LOOP</t>
        </is>
      </c>
      <c r="S78" s="73" t="inlineStr">
        <is>
          <t>Materials,Components,Products</t>
        </is>
      </c>
      <c r="T78" s="73" t="n"/>
      <c r="U78" s="73" t="n"/>
      <c r="V78" s="73" t="n"/>
      <c r="W78" s="73" t="n"/>
      <c r="X78" s="73" t="n"/>
    </row>
    <row r="79" hidden="1" ht="75" customHeight="1" s="76">
      <c r="A79" s="46" t="inlineStr">
        <is>
          <t>recovery</t>
        </is>
      </c>
      <c r="B79" s="46" t="n">
        <v>70</v>
      </c>
      <c r="C79" s="46" t="inlineStr">
        <is>
          <t>Df Reuse</t>
        </is>
      </c>
      <c r="D79" s="35" t="inlineStr">
        <is>
          <t>Df Reuse</t>
        </is>
      </c>
      <c r="E79" s="35" t="inlineStr">
        <is>
          <t>Df Reuse</t>
        </is>
      </c>
      <c r="F79" s="46" t="n">
        <v>1</v>
      </c>
      <c r="G79" s="46" t="n"/>
      <c r="H79" s="46" t="inlineStr">
        <is>
          <t xml:space="preserve">This design strategy should take into consideration only durable products that are able to endure many reuse process and therefore are truly circular. Increasing use through different loops will lower the total impacts of the product on the environment and facilitate the circulation of products. However, the geographical location where the cleanings methods may takes place should be considerate. Designers should explore this strategy through accurate evaluation of the business model. This strategy allows the use of products as far as possible, reducing the ammount of waste and prevents the need to harvest new raw materials. </t>
        </is>
      </c>
      <c r="I79" s="46" t="inlineStr">
        <is>
          <t>Design for Reuse is a design strategy where used products are returned and put back in the market with a relatively little restoration method (e.g. cleaning). Items under this category should be dismissed by users before they can be considered reusable. This strategy is the circular economy's most advantageous approach in terms of saving time and resources, but  in order for it to work at the best, reusability should create economic advantages. Design for Reuse is sometimes wrongly identified as reuse of the materials of the product. Even if this can be part of the strategy at the very end of the lifespan, the aim of Design for Reuse concern only the reuse of products (or at most the reuse of parts of the products). In this strategt there are various markets, original equipment manufactures can co-operate or compete with independent manufacturers.</t>
        </is>
      </c>
      <c r="J79" s="46" t="inlineStr">
        <is>
          <t xml:space="preserve">By using this strategy, the company wants satisfy the customer fully. Enhanced Design for Reuse may rely on the increased use of resources. Parts that are subject to a technical obsolescence can be upgrade   through programmes supported by original equipment manufacturers or others stakeholders.  </t>
        </is>
      </c>
      <c r="K79" s="46" t="inlineStr">
        <is>
          <t xml:space="preserve">Design for Reuse strategy can be considered for high-quality as well as for medium-quality items. Both the type of products can be leased or sold. The recoverability of products on the market is essential to make sure there's no products lost or cannibalization of the market. </t>
        </is>
      </c>
      <c r="L79" s="46" t="inlineStr">
        <is>
          <t>Which are the geographic areas where the product will be circulating? is it going to contribute to increasing economic and ecological profit?
How the collection of used products will be managed?
Which is the costs saving of reuse processes?
Which is the rate of technological innovation of the considered product?
Is the planned obsolescence influencing the target market? How can I planned longevity?
Which is the product’s physical life span?
Could my product become a service product instead of a product sold only once?
Is the second-hand product a perfect substitute in comparison to new products?</t>
        </is>
      </c>
      <c r="M79" s="46" t="n">
        <v>70</v>
      </c>
      <c r="N79" s="70" t="inlineStr">
        <is>
          <t xml:space="preserve">Devoldere, T., Willems, B., Duflou, J. R., &amp; Dewulf, W. (2009). The eco-efficiency of reuse centres critically explored – the washing machine case. International Journal of Sustainable Manufacturing, 1(3), 265–285. 
Cooper, T. (2010). The significance of product longevity. Longer Lasting Products : Alternatives to the Throwaway Society.
Matsumoto, M. (2010). Development of a simulation model for reuse businesses and case studies in Japan. Journal of Cleaner Production, 18(13), 1284–1299.
Marzella, F. (2015). The second-hand market: The practice of reusing goods in cultures dominated by the new. Italian Sociological Review, 5(1), 105.
  </t>
        </is>
      </c>
      <c r="O79" s="46" t="n"/>
      <c r="P79" s="46" t="n">
        <v>1</v>
      </c>
      <c r="Q79" s="46" t="inlineStr">
        <is>
          <t>Df Product Leasing,Df Product Sharing,Df Collaborative Consumption,Df Local Material Extraction,Df Failure</t>
        </is>
      </c>
      <c r="R79" s="46" t="inlineStr">
        <is>
          <t>LOOP 1,LOOP N,LAST LOOP</t>
        </is>
      </c>
      <c r="S79" s="46" t="inlineStr">
        <is>
          <t>Materials,Components</t>
        </is>
      </c>
      <c r="T79" s="46" t="n"/>
      <c r="U79" s="46" t="n"/>
      <c r="V79" s="46" t="n"/>
      <c r="W79" s="46" t="n"/>
      <c r="X79" s="46" t="n"/>
    </row>
    <row r="80" hidden="1" ht="75" customHeight="1" s="76">
      <c r="A80" s="73" t="inlineStr">
        <is>
          <t>recovery</t>
        </is>
      </c>
      <c r="B80" s="73" t="n">
        <v>71</v>
      </c>
      <c r="C80" s="73" t="inlineStr">
        <is>
          <t>Df Reuse</t>
        </is>
      </c>
      <c r="D80" s="35" t="inlineStr">
        <is>
          <t>Df Reuse</t>
        </is>
      </c>
      <c r="E80" s="36" t="inlineStr">
        <is>
          <t>Df Tracking</t>
        </is>
      </c>
      <c r="F80" s="73" t="n">
        <v>1</v>
      </c>
      <c r="G80" s="73" t="n"/>
      <c r="H80" s="73" t="inlineStr">
        <is>
          <t>Implement tracking systems monitoring products throughout lifecycle and recovery. Use digital systems recording ownership, maintenance, and recovery history. Enable transparent communication of product history. Support optimization through data analysis.</t>
        </is>
      </c>
      <c r="I80" s="73" t="inlineStr">
        <is>
          <t>Tracking systems create visibility and accountability for products moving through reverse supply chains, enabling optimization of logistics, assessment of recovery rates, and identification of process bottlenecks. Physical tracking through barcodes, RFID, or other identifiers allows accurate data collection on product volumes, conditions, and recovery outcomes. Digital tracking systems integrate with refurbishment facilities, enabling real-time visibility into product flow. From a design perspective, products must accommodate tracking technologies without compromising aesthetics or functionality.</t>
        </is>
      </c>
      <c r="J80" s="73" t="inlineStr">
        <is>
          <t>All products benefit, particularly those with safety or material significance. Effective where tracking supports quality assurance and regulatory compliance.</t>
        </is>
      </c>
      <c r="K80" s="73" t="inlineStr">
        <is>
          <t>Digital tracking systems throughout lifecycle. History documented transparently. Data accessible to stakeholders. Analysis enables optimization.</t>
        </is>
      </c>
      <c r="L80" s="73" t="inlineStr">
        <is>
          <t>• What tracking technologies (barcodes, RFID, blockchain) are most appropriate?
• How should tracking identifiers be integrated into product design?
• What data should be collected at each tracking checkpoint?
• How can tracking information be accessed by stakeholders in recovery systems?
• What privacy considerations apply to product tracking?
• How should tracking systems integrate with refurbishment and logistics software?</t>
        </is>
      </c>
      <c r="M80" s="73" t="n">
        <v>98</v>
      </c>
      <c r="N80" s="73" t="inlineStr">
        <is>
          <t xml:space="preserve">Nasr, N., Russell, J., Bringezu, S., Hellweg, S., Hilton, B., Kreiss, C., &amp; con Gries, N. (2018). Re-defining Value – The Manufacturing Revolution (UN Environment). </t>
        </is>
      </c>
      <c r="O80" s="73" t="n"/>
      <c r="P80" s="73" t="n">
        <v>1</v>
      </c>
      <c r="Q80" s="73" t="n"/>
      <c r="R80" s="73" t="inlineStr">
        <is>
          <t>LOOP 1,LOOP N,LAST LOOP</t>
        </is>
      </c>
      <c r="S80" s="73" t="inlineStr">
        <is>
          <t>Materials,Components</t>
        </is>
      </c>
      <c r="T80" s="73" t="n"/>
      <c r="U80" s="73" t="n"/>
      <c r="V80" s="73" t="n"/>
      <c r="W80" s="73" t="n"/>
      <c r="X80" s="73" t="n"/>
    </row>
    <row r="81" hidden="1" ht="75" customHeight="1" s="76">
      <c r="A81" s="46" t="inlineStr">
        <is>
          <t>recovery</t>
        </is>
      </c>
      <c r="B81" s="46" t="n">
        <v>135</v>
      </c>
      <c r="C81" s="46" t="inlineStr">
        <is>
          <t>Df Reuse</t>
        </is>
      </c>
      <c r="D81" s="34" t="inlineStr">
        <is>
          <t>Df Upcycling</t>
        </is>
      </c>
      <c r="E81" s="34" t="inlineStr">
        <is>
          <t>Df Upcycling</t>
        </is>
      </c>
      <c r="F81" s="46" t="n">
        <v>1</v>
      </c>
      <c r="G81" s="46" t="inlineStr">
        <is>
          <t>high</t>
        </is>
      </c>
      <c r="H81" s="46" t="inlineStr">
        <is>
          <t>Design enabling creative reuse of materials in new contexts with equal or greater value. Establish relationships with designers and makers accepting upcycled materials. Use materials selected for aesthetic qualities supporting creative reuse. Document and communicate creative reuse stories.</t>
        </is>
      </c>
      <c r="I81" s="46" t="inlineStr">
        <is>
          <t>Design for Upcycling strategy seeks to find new value by transforming, repurposing or refashioning waste or used materials and products. Here, the designer should encourage the users to maintain the product even after becomes obsolete, failed, broken, cracked or worn-out. In the Design for Maintenance strategy, upcycling is a creative act which is performed usually by individuals, artists and makers. However, it shouldn't be confused with the industrial upcycling, a process that is more similar to recycling and that involves a complex material transformation. Designers need to make a distinction between the Design for Upcycling under the Maintenance (X1) from Design for Upcycling under the Reuse (X1).  The difference lies in the fact that, in the Maintenance, it is the owner of the product who upcycling the product, while in the Reuse it is someone else ( artist, industry, etc.). Another consideration to make is the difference between Design for Upcycling from Design for Repairing. In the latter, the function of the product is restored, while in the upcycling the product is somehow renovated and the function and purpose change.</t>
        </is>
      </c>
      <c r="J81" s="46" t="inlineStr">
        <is>
          <t>Design and craft communities. Effective where creative reuse creates premium-valued products. Works for aesthetically distinctive materials.</t>
        </is>
      </c>
      <c r="K81" s="46" t="inlineStr">
        <is>
          <t>Materials selected for aesthetic qualities. Designer partnerships support reuse. Creative process emphasized and communicated. Product value enhanced through narrative.</t>
        </is>
      </c>
      <c r="L81" s="46" t="inlineStr">
        <is>
          <t>How industry can creatively upcycle a product that is no longer used?
How visible repairing can make something unique and beautiful to extend the use of the product?
Where unused products or materials can be found to be upcycled?</t>
        </is>
      </c>
      <c r="M81" s="46" t="n">
        <v>129</v>
      </c>
      <c r="N81" s="46" t="inlineStr">
        <is>
          <t>Sung, K., &amp; Sung, K. (2015). A review on upcycling: Current body of literature, knowledge gaps and a way forward.
Terzioglu, N. (2017). Do-fix: Creating deeper relationships between users and products through visible repair [Ph.D., Royal College of Art]. http://researchonline.rca.ac.uk/2818/
Mackie, E. (2017). Technological Disobedience: Ernesto Oroza. Assemble Papers #7. https://assemblepapers.com.au/2017/04/28/technological-disobedience-ernesto-oroza/</t>
        </is>
      </c>
      <c r="O81" s="46" t="n"/>
      <c r="P81" s="46" t="n"/>
      <c r="Q81" s="46" t="n"/>
      <c r="R81" s="46" t="inlineStr">
        <is>
          <t>LOOP 1,LOOP N,LAST LOOP</t>
        </is>
      </c>
      <c r="S81" s="46" t="inlineStr">
        <is>
          <t>Materials,Components,Processes,Systems</t>
        </is>
      </c>
      <c r="T81" s="46" t="n"/>
      <c r="U81" s="46" t="n"/>
      <c r="V81" s="46" t="n"/>
      <c r="W81" s="46" t="n"/>
      <c r="X81" s="46" t="n"/>
    </row>
    <row r="82" hidden="1" ht="75" customHeight="1" s="76">
      <c r="A82" s="73" t="inlineStr">
        <is>
          <t>recovery</t>
        </is>
      </c>
      <c r="B82" s="73" t="n">
        <v>136</v>
      </c>
      <c r="C82" s="73" t="inlineStr">
        <is>
          <t>Df Reuse</t>
        </is>
      </c>
      <c r="D82" s="34" t="inlineStr">
        <is>
          <t>Df Upcycling</t>
        </is>
      </c>
      <c r="E82" s="55" t="inlineStr">
        <is>
          <t>Df Industrial Upcycling</t>
        </is>
      </c>
      <c r="F82" s="73" t="n">
        <v>1</v>
      </c>
      <c r="G82" s="73" t="inlineStr">
        <is>
          <t>low</t>
        </is>
      </c>
      <c r="H82" s="73" t="inlineStr">
        <is>
          <t>Develop industrial processes transforming post-industrial or post-consumer waste into valuable inputs. Establish partnerships with waste producers and material users. Use quality assurance ensuring material specifications. Build supply reliability for secondary industries.</t>
        </is>
      </c>
      <c r="I82" s="73" t="inlineStr">
        <is>
          <t>Industrial upcycling transforms post-consumer waste streams into higher-value products through creative remanufacturing and material recombination. Unlike recycling that reduces material to base constituents, upcycling preserves material form and value while creating entirely new product categories. This strategy captures value in abundant waste streams—textiles, plastics, metals—that would otherwise require energy-intensive reprocessing. Products designed for upcycling potential incorporate materials and components valuable for secondary applications, fundamentally shifting waste perception from disposal problem to resource opportunity.</t>
        </is>
      </c>
      <c r="J82" s="73" t="inlineStr">
        <is>
          <t>Waste streams from manufacturing or consumption with material value. Effective where industrial processes can transform quality acceptably. Works at scale with sufficient supply.</t>
        </is>
      </c>
      <c r="K82" s="73" t="inlineStr">
        <is>
          <t>Industrial transformation processes. Quality assurance meets specifications. Supply partnerships established. Reliability supports secondary manufacturing.</t>
        </is>
      </c>
      <c r="L82" s="73" t="inlineStr">
        <is>
          <t>• What waste streams from existing products can be valuable for upcycling?
• How can products be designed to generate valuable upcycling feedstock?
• What creative transformations turn waste into higher-value products?
• How should upcycled products be branded and positioned in markets?
• What scale of upcycling operations can be economically viable?
• How does upcycling quality control ensure product reliability and safety?</t>
        </is>
      </c>
      <c r="M82" s="73" t="n">
        <v>83</v>
      </c>
      <c r="N82" s="73" t="inlineStr">
        <is>
          <t>Braungart, M., &amp; McDonough, W. (2002). Cradle to cradle: Remaking the way we make things. North Point Press.
Lacy, P., &amp; Rutqvist, J. (2015). Waste to wealth: The circular economy advantage. Palgrave Macmillan.
Ellen MacArthur Foundation. (2015). Growth within: A circular economy vision for a competitive Europe.</t>
        </is>
      </c>
      <c r="O82" s="73" t="n"/>
      <c r="P82" s="73" t="n"/>
      <c r="Q82" s="73" t="n"/>
      <c r="R82" s="73" t="inlineStr">
        <is>
          <t>LOOP 1,LOOP N,LAST LOOP</t>
        </is>
      </c>
      <c r="S82" s="73" t="inlineStr">
        <is>
          <t>Materials,Components,Processes,Systems</t>
        </is>
      </c>
      <c r="T82" s="73" t="n"/>
      <c r="U82" s="73" t="n"/>
      <c r="V82" s="73" t="n"/>
      <c r="W82" s="73" t="n"/>
      <c r="X82" s="73" t="n"/>
    </row>
    <row r="83" ht="75" customHeight="1" s="76">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row>
    <row r="84" ht="75" customHeight="1" s="76">
      <c r="A84" s="73" t="n"/>
      <c r="B84" s="73" t="n"/>
      <c r="C84" s="73" t="n"/>
      <c r="D84" s="73" t="n"/>
      <c r="E84" s="73" t="n"/>
      <c r="F84" s="73" t="n"/>
      <c r="G84" s="73" t="n"/>
      <c r="H84" s="73" t="n"/>
      <c r="I84" s="73" t="n"/>
      <c r="J84" s="73" t="n"/>
      <c r="K84" s="73" t="n"/>
      <c r="L84" s="73" t="n"/>
      <c r="M84" s="73" t="n"/>
      <c r="N84" s="73" t="n"/>
      <c r="O84" s="73" t="n"/>
      <c r="P84" s="73" t="n"/>
      <c r="Q84" s="73" t="n"/>
      <c r="R84" s="73" t="n"/>
      <c r="S84" s="73" t="n"/>
      <c r="T84" s="73" t="n"/>
      <c r="U84" s="73" t="n"/>
      <c r="V84" s="73" t="n"/>
      <c r="W84" s="73" t="n"/>
      <c r="X84" s="73" t="n"/>
    </row>
    <row r="85" ht="75" customHeight="1" s="76">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row>
    <row r="86" ht="75" customHeight="1" s="76">
      <c r="A86" s="73" t="n"/>
      <c r="B86" s="73" t="n"/>
      <c r="C86" s="73" t="n"/>
      <c r="D86" s="73" t="n"/>
      <c r="E86" s="73" t="n"/>
      <c r="F86" s="73" t="n"/>
      <c r="G86" s="73" t="n"/>
      <c r="H86" s="73" t="n"/>
      <c r="I86" s="73" t="n"/>
      <c r="J86" s="73" t="n"/>
      <c r="K86" s="73" t="n"/>
      <c r="L86" s="73" t="n"/>
      <c r="M86" s="73" t="n"/>
      <c r="N86" s="73" t="n"/>
      <c r="O86" s="73" t="n"/>
      <c r="P86" s="73" t="n"/>
      <c r="Q86" s="73" t="n"/>
      <c r="R86" s="73" t="n"/>
      <c r="S86" s="73" t="n"/>
      <c r="T86" s="73" t="n"/>
      <c r="U86" s="73" t="n"/>
      <c r="V86" s="73" t="n"/>
      <c r="W86" s="73" t="n"/>
      <c r="X86" s="73" t="n"/>
    </row>
    <row r="87" ht="75" customHeight="1" s="76">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row>
    <row r="88" ht="75" customHeight="1" s="76">
      <c r="A88" s="73" t="n"/>
      <c r="B88" s="73" t="n"/>
      <c r="C88" s="73" t="n"/>
      <c r="D88" s="73" t="n"/>
      <c r="E88" s="73" t="n"/>
      <c r="F88" s="73" t="n"/>
      <c r="G88" s="73" t="n"/>
      <c r="H88" s="73" t="n"/>
      <c r="I88" s="73" t="n"/>
      <c r="J88" s="73" t="n"/>
      <c r="K88" s="73" t="n"/>
      <c r="L88" s="73" t="n"/>
      <c r="M88" s="73" t="n"/>
      <c r="N88" s="73" t="n"/>
      <c r="O88" s="73" t="n"/>
      <c r="P88" s="73" t="n"/>
      <c r="Q88" s="73" t="n"/>
      <c r="R88" s="73" t="n"/>
      <c r="S88" s="73" t="n"/>
      <c r="T88" s="73" t="n"/>
      <c r="U88" s="73" t="n"/>
      <c r="V88" s="73" t="n"/>
      <c r="W88" s="73" t="n"/>
      <c r="X88" s="73" t="n"/>
    </row>
    <row r="89" ht="75" customHeight="1" s="76">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row>
    <row r="90" ht="75" customHeight="1" s="76">
      <c r="A90" s="73" t="n"/>
      <c r="B90" s="73" t="n"/>
      <c r="C90" s="73" t="n"/>
      <c r="D90" s="73" t="n"/>
      <c r="E90" s="73" t="n"/>
      <c r="F90" s="73" t="n"/>
      <c r="G90" s="73" t="n"/>
      <c r="H90" s="73" t="n"/>
      <c r="I90" s="73" t="n"/>
      <c r="J90" s="73" t="n"/>
      <c r="K90" s="73" t="n"/>
      <c r="L90" s="73" t="n"/>
      <c r="M90" s="73" t="n"/>
      <c r="N90" s="73" t="n"/>
      <c r="O90" s="73" t="n"/>
      <c r="P90" s="73" t="n"/>
      <c r="Q90" s="73" t="n"/>
      <c r="R90" s="73" t="n"/>
      <c r="S90" s="73" t="n"/>
      <c r="T90" s="73" t="n"/>
      <c r="U90" s="73" t="n"/>
      <c r="V90" s="73" t="n"/>
      <c r="W90" s="73" t="n"/>
      <c r="X90" s="73" t="n"/>
    </row>
    <row r="91" ht="75" customHeight="1" s="76">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row>
    <row r="92" ht="75" customHeight="1" s="76">
      <c r="A92" s="73" t="n"/>
      <c r="B92" s="73" t="n"/>
      <c r="C92" s="73" t="n"/>
      <c r="D92" s="73" t="n"/>
      <c r="E92" s="73" t="n"/>
      <c r="F92" s="73" t="n"/>
      <c r="G92" s="73" t="n"/>
      <c r="H92" s="73" t="n"/>
      <c r="I92" s="73" t="n"/>
      <c r="J92" s="73" t="n"/>
      <c r="K92" s="73" t="n"/>
      <c r="L92" s="73" t="n"/>
      <c r="M92" s="73" t="n"/>
      <c r="N92" s="73" t="n"/>
      <c r="O92" s="73" t="n"/>
      <c r="P92" s="73" t="n"/>
      <c r="Q92" s="73" t="n"/>
      <c r="R92" s="73" t="n"/>
      <c r="S92" s="73" t="n"/>
      <c r="T92" s="73" t="n"/>
      <c r="U92" s="73" t="n"/>
      <c r="V92" s="73" t="n"/>
      <c r="W92" s="73" t="n"/>
      <c r="X92" s="73" t="n"/>
    </row>
    <row r="93" ht="75" customHeight="1" s="76">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row>
    <row r="94" ht="75" customHeight="1" s="76">
      <c r="A94" s="73" t="n"/>
      <c r="B94" s="73" t="n"/>
      <c r="C94" s="73" t="n"/>
      <c r="D94" s="73" t="n"/>
      <c r="E94" s="73" t="n"/>
      <c r="F94" s="73" t="n"/>
      <c r="G94" s="73" t="n"/>
      <c r="H94" s="73" t="n"/>
      <c r="I94" s="73" t="n"/>
      <c r="J94" s="73" t="n"/>
      <c r="K94" s="73" t="n"/>
      <c r="L94" s="73" t="n"/>
      <c r="M94" s="73" t="n"/>
      <c r="N94" s="73" t="n"/>
      <c r="O94" s="73" t="n"/>
      <c r="P94" s="73" t="n"/>
      <c r="Q94" s="73" t="n"/>
      <c r="R94" s="73" t="n"/>
      <c r="S94" s="73" t="n"/>
      <c r="T94" s="73" t="n"/>
      <c r="U94" s="73" t="n"/>
      <c r="V94" s="73" t="n"/>
      <c r="W94" s="73" t="n"/>
      <c r="X94" s="73" t="n"/>
    </row>
    <row r="95" ht="75" customHeight="1" s="76">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row>
    <row r="96" ht="75" customHeight="1" s="76">
      <c r="A96" s="73" t="n"/>
      <c r="B96" s="73" t="n"/>
      <c r="C96" s="73" t="n"/>
      <c r="D96" s="73" t="n"/>
      <c r="E96" s="73" t="n"/>
      <c r="F96" s="73" t="n"/>
      <c r="G96" s="73" t="n"/>
      <c r="H96" s="73" t="n"/>
      <c r="I96" s="73" t="n"/>
      <c r="J96" s="73" t="n"/>
      <c r="K96" s="73" t="n"/>
      <c r="L96" s="73" t="n"/>
      <c r="M96" s="73" t="n"/>
      <c r="N96" s="73" t="n"/>
      <c r="O96" s="73" t="n"/>
      <c r="P96" s="73" t="n"/>
      <c r="Q96" s="73" t="n"/>
      <c r="R96" s="73" t="n"/>
      <c r="S96" s="73" t="n"/>
      <c r="T96" s="73" t="n"/>
      <c r="U96" s="73" t="n"/>
      <c r="V96" s="73" t="n"/>
      <c r="W96" s="73" t="n"/>
      <c r="X96" s="73" t="n"/>
    </row>
    <row r="97" ht="75" customHeight="1" s="76">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row>
    <row r="98" ht="75" customHeight="1" s="76">
      <c r="A98" s="73" t="n"/>
      <c r="B98" s="73" t="n"/>
      <c r="C98" s="73" t="n"/>
      <c r="D98" s="73" t="n"/>
      <c r="E98" s="73" t="n"/>
      <c r="F98" s="73" t="n"/>
      <c r="G98" s="73" t="n"/>
      <c r="H98" s="73" t="n"/>
      <c r="I98" s="73" t="n"/>
      <c r="J98" s="73" t="n"/>
      <c r="K98" s="73" t="n"/>
      <c r="L98" s="73" t="n"/>
      <c r="M98" s="73" t="n"/>
      <c r="N98" s="73" t="n"/>
      <c r="O98" s="73" t="n"/>
      <c r="P98" s="73" t="n"/>
      <c r="Q98" s="73" t="n"/>
      <c r="R98" s="73" t="n"/>
      <c r="S98" s="73" t="n"/>
      <c r="T98" s="73" t="n"/>
      <c r="U98" s="73" t="n"/>
      <c r="V98" s="73" t="n"/>
      <c r="W98" s="73" t="n"/>
      <c r="X98" s="73" t="n"/>
    </row>
    <row r="99" ht="75" customHeight="1" s="76">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row>
    <row r="100" ht="75" customHeight="1" s="76">
      <c r="A100" s="73" t="n"/>
      <c r="B100" s="73" t="n"/>
      <c r="C100" s="73" t="n"/>
      <c r="D100" s="73" t="n"/>
      <c r="E100" s="73" t="n"/>
      <c r="F100" s="73" t="n"/>
      <c r="G100" s="73" t="n"/>
      <c r="H100" s="73" t="n"/>
      <c r="I100" s="73" t="n"/>
      <c r="J100" s="73" t="n"/>
      <c r="K100" s="73" t="n"/>
      <c r="L100" s="73" t="n"/>
      <c r="M100" s="73" t="n"/>
      <c r="N100" s="73" t="n"/>
      <c r="O100" s="73" t="n"/>
      <c r="P100" s="73" t="n"/>
      <c r="Q100" s="73" t="n"/>
      <c r="R100" s="73" t="n"/>
      <c r="S100" s="73" t="n"/>
      <c r="T100" s="73" t="n"/>
      <c r="U100" s="73" t="n"/>
      <c r="V100" s="73" t="n"/>
      <c r="W100" s="73" t="n"/>
      <c r="X100" s="73" t="n"/>
    </row>
    <row r="101" ht="75" customHeight="1" s="76">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row>
    <row r="102" ht="75" customHeight="1" s="76">
      <c r="A102" s="73" t="n"/>
      <c r="B102" s="73" t="n"/>
      <c r="C102" s="73" t="n"/>
      <c r="D102" s="73" t="n"/>
      <c r="E102" s="73" t="n"/>
      <c r="F102" s="73" t="n"/>
      <c r="G102" s="73" t="n"/>
      <c r="H102" s="73" t="n"/>
      <c r="I102" s="73" t="n"/>
      <c r="J102" s="73" t="n"/>
      <c r="K102" s="73" t="n"/>
      <c r="L102" s="73" t="n"/>
      <c r="M102" s="73" t="n"/>
      <c r="N102" s="73" t="n"/>
      <c r="O102" s="73" t="n"/>
      <c r="P102" s="73" t="n"/>
      <c r="Q102" s="73" t="n"/>
      <c r="R102" s="73" t="n"/>
      <c r="S102" s="73" t="n"/>
      <c r="T102" s="73" t="n"/>
      <c r="U102" s="73" t="n"/>
      <c r="V102" s="73" t="n"/>
      <c r="W102" s="73" t="n"/>
      <c r="X102" s="73" t="n"/>
    </row>
    <row r="103" ht="75" customHeight="1" s="76">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row>
    <row r="104" ht="75" customHeight="1" s="76">
      <c r="A104" s="73" t="n"/>
      <c r="B104" s="73" t="n"/>
      <c r="C104" s="73" t="n"/>
      <c r="D104" s="73" t="n"/>
      <c r="E104" s="73" t="n"/>
      <c r="F104" s="73" t="n"/>
      <c r="G104" s="73" t="n"/>
      <c r="H104" s="73" t="n"/>
      <c r="I104" s="73" t="n"/>
      <c r="J104" s="73" t="n"/>
      <c r="K104" s="73" t="n"/>
      <c r="L104" s="73" t="n"/>
      <c r="M104" s="73" t="n"/>
      <c r="N104" s="73" t="n"/>
      <c r="O104" s="73" t="n"/>
      <c r="P104" s="73" t="n"/>
      <c r="Q104" s="73" t="n"/>
      <c r="R104" s="73" t="n"/>
      <c r="S104" s="73" t="n"/>
      <c r="T104" s="73" t="n"/>
      <c r="U104" s="73" t="n"/>
      <c r="V104" s="73" t="n"/>
      <c r="W104" s="73" t="n"/>
      <c r="X104" s="73" t="n"/>
    </row>
    <row r="105" ht="75" customHeight="1" s="76">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row>
    <row r="106" ht="75" customHeight="1" s="76">
      <c r="A106" s="73" t="n"/>
      <c r="B106" s="73" t="n"/>
      <c r="C106" s="73" t="n"/>
      <c r="D106" s="73" t="n"/>
      <c r="E106" s="73" t="n"/>
      <c r="F106" s="73" t="n"/>
      <c r="G106" s="73" t="n"/>
      <c r="H106" s="73" t="n"/>
      <c r="I106" s="73" t="n"/>
      <c r="J106" s="73" t="n"/>
      <c r="K106" s="73" t="n"/>
      <c r="L106" s="73" t="n"/>
      <c r="M106" s="73" t="n"/>
      <c r="N106" s="73" t="n"/>
      <c r="O106" s="73" t="n"/>
      <c r="P106" s="73" t="n"/>
      <c r="Q106" s="73" t="n"/>
      <c r="R106" s="73" t="n"/>
      <c r="S106" s="73" t="n"/>
      <c r="T106" s="73" t="n"/>
      <c r="U106" s="73" t="n"/>
      <c r="V106" s="73" t="n"/>
      <c r="W106" s="73" t="n"/>
      <c r="X106" s="73" t="n"/>
    </row>
    <row r="107" ht="75" customHeight="1" s="76">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row>
    <row r="108" ht="75" customHeight="1" s="76">
      <c r="A108" s="73" t="n"/>
      <c r="B108" s="73" t="n"/>
      <c r="C108" s="73" t="n"/>
      <c r="D108" s="73" t="n"/>
      <c r="E108" s="73" t="n"/>
      <c r="F108" s="73" t="n"/>
      <c r="G108" s="73" t="n"/>
      <c r="H108" s="73" t="n"/>
      <c r="I108" s="73" t="n"/>
      <c r="J108" s="73" t="n"/>
      <c r="K108" s="73" t="n"/>
      <c r="L108" s="73" t="n"/>
      <c r="M108" s="73" t="n"/>
      <c r="N108" s="73" t="n"/>
      <c r="O108" s="73" t="n"/>
      <c r="P108" s="73" t="n"/>
      <c r="Q108" s="73" t="n"/>
      <c r="R108" s="73" t="n"/>
      <c r="S108" s="73" t="n"/>
      <c r="T108" s="73" t="n"/>
      <c r="U108" s="73" t="n"/>
      <c r="V108" s="73" t="n"/>
      <c r="W108" s="73" t="n"/>
      <c r="X108" s="73" t="n"/>
    </row>
    <row r="109" ht="75" customHeight="1" s="76">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row>
    <row r="110" ht="75" customHeight="1" s="76">
      <c r="A110" s="73" t="n"/>
      <c r="B110" s="73" t="n"/>
      <c r="C110" s="73" t="n"/>
      <c r="D110" s="73" t="n"/>
      <c r="E110" s="73" t="n"/>
      <c r="F110" s="73" t="n"/>
      <c r="G110" s="73" t="n"/>
      <c r="H110" s="73" t="n"/>
      <c r="I110" s="73" t="n"/>
      <c r="J110" s="73" t="n"/>
      <c r="K110" s="73" t="n"/>
      <c r="L110" s="73" t="n"/>
      <c r="M110" s="73" t="n"/>
      <c r="N110" s="73" t="n"/>
      <c r="O110" s="73" t="n"/>
      <c r="P110" s="73" t="n"/>
      <c r="Q110" s="73" t="n"/>
      <c r="R110" s="73" t="n"/>
      <c r="S110" s="73" t="n"/>
      <c r="T110" s="73" t="n"/>
      <c r="U110" s="73" t="n"/>
      <c r="V110" s="73" t="n"/>
      <c r="W110" s="73" t="n"/>
      <c r="X110" s="73" t="n"/>
    </row>
    <row r="111" ht="75" customHeight="1" s="76">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row>
    <row r="112" ht="75" customHeight="1" s="76">
      <c r="A112" s="73" t="n"/>
      <c r="B112" s="73" t="n"/>
      <c r="C112" s="73" t="n"/>
      <c r="D112" s="73" t="n"/>
      <c r="E112" s="73" t="n"/>
      <c r="F112" s="73" t="n"/>
      <c r="G112" s="73" t="n"/>
      <c r="H112" s="73" t="n"/>
      <c r="I112" s="73" t="n"/>
      <c r="J112" s="73" t="n"/>
      <c r="K112" s="73" t="n"/>
      <c r="L112" s="73" t="n"/>
      <c r="M112" s="73" t="n"/>
      <c r="N112" s="73" t="n"/>
      <c r="O112" s="73" t="n"/>
      <c r="P112" s="73" t="n"/>
      <c r="Q112" s="73" t="n"/>
      <c r="R112" s="73" t="n"/>
      <c r="S112" s="73" t="n"/>
      <c r="T112" s="73" t="n"/>
      <c r="U112" s="73" t="n"/>
      <c r="V112" s="73" t="n"/>
      <c r="W112" s="73" t="n"/>
      <c r="X112" s="73" t="n"/>
    </row>
    <row r="113" ht="75" customHeight="1" s="76">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row>
    <row r="114" ht="75" customHeight="1" s="76">
      <c r="A114" s="73" t="n"/>
      <c r="B114" s="73" t="n"/>
      <c r="C114" s="73" t="n"/>
      <c r="D114" s="73" t="n"/>
      <c r="E114" s="73" t="n"/>
      <c r="F114" s="73" t="n"/>
      <c r="G114" s="73" t="n"/>
      <c r="H114" s="73" t="n"/>
      <c r="I114" s="73" t="n"/>
      <c r="J114" s="73" t="n"/>
      <c r="K114" s="73" t="n"/>
      <c r="L114" s="73" t="n"/>
      <c r="M114" s="73" t="n"/>
      <c r="N114" s="73" t="n"/>
      <c r="O114" s="73" t="n"/>
      <c r="P114" s="73" t="n"/>
      <c r="Q114" s="73" t="n"/>
      <c r="R114" s="73" t="n"/>
      <c r="S114" s="73" t="n"/>
      <c r="T114" s="73" t="n"/>
      <c r="U114" s="73" t="n"/>
      <c r="V114" s="73" t="n"/>
      <c r="W114" s="73" t="n"/>
      <c r="X114" s="73" t="n"/>
    </row>
    <row r="115" ht="75" customHeight="1" s="76">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row>
    <row r="116" ht="75" customHeight="1" s="76">
      <c r="A116" s="73" t="n"/>
      <c r="B116" s="73" t="n"/>
      <c r="C116" s="73" t="n"/>
      <c r="D116" s="73" t="n"/>
      <c r="E116" s="73" t="n"/>
      <c r="F116" s="73" t="n"/>
      <c r="G116" s="73" t="n"/>
      <c r="H116" s="73" t="n"/>
      <c r="I116" s="73" t="n"/>
      <c r="J116" s="73" t="n"/>
      <c r="K116" s="73" t="n"/>
      <c r="L116" s="73" t="n"/>
      <c r="M116" s="73" t="n"/>
      <c r="N116" s="73" t="n"/>
      <c r="O116" s="73" t="n"/>
      <c r="P116" s="73" t="n"/>
      <c r="Q116" s="73" t="n"/>
      <c r="R116" s="73" t="n"/>
      <c r="S116" s="73" t="n"/>
      <c r="T116" s="73" t="n"/>
      <c r="U116" s="73" t="n"/>
      <c r="V116" s="73" t="n"/>
      <c r="W116" s="73" t="n"/>
      <c r="X116" s="73" t="n"/>
    </row>
    <row r="117" ht="75" customHeight="1" s="76">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row>
    <row r="118" ht="75" customHeight="1" s="76">
      <c r="A118" s="73" t="n"/>
      <c r="B118" s="73" t="n"/>
      <c r="C118" s="73" t="n"/>
      <c r="D118" s="73" t="n"/>
      <c r="E118" s="73" t="n"/>
      <c r="F118" s="73" t="n"/>
      <c r="G118" s="73" t="n"/>
      <c r="H118" s="73" t="n"/>
      <c r="I118" s="73" t="n"/>
      <c r="J118" s="73" t="n"/>
      <c r="K118" s="73" t="n"/>
      <c r="L118" s="73" t="n"/>
      <c r="M118" s="73" t="n"/>
      <c r="N118" s="73" t="n"/>
      <c r="O118" s="73" t="n"/>
      <c r="P118" s="73" t="n"/>
      <c r="Q118" s="73" t="n"/>
      <c r="R118" s="73" t="n"/>
      <c r="S118" s="73" t="n"/>
      <c r="T118" s="73" t="n"/>
      <c r="U118" s="73" t="n"/>
      <c r="V118" s="73" t="n"/>
      <c r="W118" s="73" t="n"/>
      <c r="X118" s="73" t="n"/>
    </row>
    <row r="119" ht="75" customHeight="1" s="76">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row>
    <row r="120" ht="75" customHeight="1" s="76">
      <c r="A120" s="73" t="n"/>
      <c r="B120" s="73" t="n"/>
      <c r="C120" s="73" t="n"/>
      <c r="D120" s="73" t="n"/>
      <c r="E120" s="73" t="n"/>
      <c r="F120" s="73" t="n"/>
      <c r="G120" s="73" t="n"/>
      <c r="H120" s="73" t="n"/>
      <c r="I120" s="73" t="n"/>
      <c r="J120" s="73" t="n"/>
      <c r="K120" s="73" t="n"/>
      <c r="L120" s="73" t="n"/>
      <c r="M120" s="73" t="n"/>
      <c r="N120" s="73" t="n"/>
      <c r="O120" s="73" t="n"/>
      <c r="P120" s="73" t="n"/>
      <c r="Q120" s="73" t="n"/>
      <c r="R120" s="73" t="n"/>
      <c r="S120" s="73" t="n"/>
      <c r="T120" s="73" t="n"/>
      <c r="U120" s="73" t="n"/>
      <c r="V120" s="73" t="n"/>
      <c r="W120" s="73" t="n"/>
      <c r="X120" s="73" t="n"/>
    </row>
    <row r="121" ht="75" customHeight="1" s="76">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row>
    <row r="122" ht="75" customHeight="1" s="76">
      <c r="A122" s="73" t="n"/>
      <c r="B122" s="73" t="n"/>
      <c r="C122" s="73" t="n"/>
      <c r="D122" s="73" t="n"/>
      <c r="E122" s="73" t="n"/>
      <c r="F122" s="73" t="n"/>
      <c r="G122" s="73" t="n"/>
      <c r="H122" s="73" t="n"/>
      <c r="I122" s="73" t="n"/>
      <c r="J122" s="73" t="n"/>
      <c r="K122" s="73" t="n"/>
      <c r="L122" s="73" t="n"/>
      <c r="M122" s="73" t="n"/>
      <c r="N122" s="73" t="n"/>
      <c r="O122" s="73" t="n"/>
      <c r="P122" s="73" t="n"/>
      <c r="Q122" s="73" t="n"/>
      <c r="R122" s="73" t="n"/>
      <c r="S122" s="73" t="n"/>
      <c r="T122" s="73" t="n"/>
      <c r="U122" s="73" t="n"/>
      <c r="V122" s="73" t="n"/>
      <c r="W122" s="73" t="n"/>
      <c r="X122" s="73" t="n"/>
    </row>
    <row r="123" ht="75" customHeight="1" s="76">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row>
    <row r="124" ht="75" customHeight="1" s="76">
      <c r="A124" s="73" t="n"/>
      <c r="B124" s="73" t="n"/>
      <c r="C124" s="73" t="n"/>
      <c r="D124" s="73" t="n"/>
      <c r="E124" s="73" t="n"/>
      <c r="F124" s="73" t="n"/>
      <c r="G124" s="73" t="n"/>
      <c r="H124" s="73" t="n"/>
      <c r="I124" s="73" t="n"/>
      <c r="J124" s="73" t="n"/>
      <c r="K124" s="73" t="n"/>
      <c r="L124" s="73" t="n"/>
      <c r="M124" s="73" t="n"/>
      <c r="N124" s="73" t="n"/>
      <c r="O124" s="73" t="n"/>
      <c r="P124" s="73" t="n"/>
      <c r="Q124" s="73" t="n"/>
      <c r="R124" s="73" t="n"/>
      <c r="S124" s="73" t="n"/>
      <c r="T124" s="73" t="n"/>
      <c r="U124" s="73" t="n"/>
      <c r="V124" s="73" t="n"/>
      <c r="W124" s="73" t="n"/>
      <c r="X124" s="73" t="n"/>
    </row>
    <row r="125" ht="75" customHeight="1" s="76">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row>
    <row r="126" ht="75" customHeight="1" s="76">
      <c r="A126" s="73" t="n"/>
      <c r="B126" s="73" t="n"/>
      <c r="C126" s="73" t="n"/>
      <c r="D126" s="73" t="n"/>
      <c r="E126" s="73" t="n"/>
      <c r="F126" s="73" t="n"/>
      <c r="G126" s="73" t="n"/>
      <c r="H126" s="73" t="n"/>
      <c r="I126" s="73" t="n"/>
      <c r="J126" s="73" t="n"/>
      <c r="K126" s="73" t="n"/>
      <c r="L126" s="73" t="n"/>
      <c r="M126" s="73" t="n"/>
      <c r="N126" s="73" t="n"/>
      <c r="O126" s="73" t="n"/>
      <c r="P126" s="73" t="n"/>
      <c r="Q126" s="73" t="n"/>
      <c r="R126" s="73" t="n"/>
      <c r="S126" s="73" t="n"/>
      <c r="T126" s="73" t="n"/>
      <c r="U126" s="73" t="n"/>
      <c r="V126" s="73" t="n"/>
      <c r="W126" s="73" t="n"/>
      <c r="X126" s="73" t="n"/>
    </row>
    <row r="127" ht="75" customHeight="1" s="76">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row>
    <row r="128" ht="75" customHeight="1" s="76">
      <c r="A128" s="73" t="n"/>
      <c r="B128" s="73" t="n"/>
      <c r="C128" s="73" t="n"/>
      <c r="D128" s="73" t="n"/>
      <c r="E128" s="73" t="n"/>
      <c r="F128" s="73" t="n"/>
      <c r="G128" s="73" t="n"/>
      <c r="H128" s="73" t="n"/>
      <c r="I128" s="73" t="n"/>
      <c r="J128" s="73" t="n"/>
      <c r="K128" s="73" t="n"/>
      <c r="L128" s="73" t="n"/>
      <c r="M128" s="73" t="n"/>
      <c r="N128" s="73" t="n"/>
      <c r="O128" s="73" t="n"/>
      <c r="P128" s="73" t="n"/>
      <c r="Q128" s="73" t="n"/>
      <c r="R128" s="73" t="n"/>
      <c r="S128" s="73" t="n"/>
      <c r="T128" s="73" t="n"/>
      <c r="U128" s="73" t="n"/>
      <c r="V128" s="73" t="n"/>
      <c r="W128" s="73" t="n"/>
      <c r="X128" s="73" t="n"/>
    </row>
    <row r="129" ht="75" customHeight="1" s="76">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row>
    <row r="130" ht="75" customHeight="1" s="76">
      <c r="A130" s="73" t="n"/>
      <c r="B130" s="73" t="n"/>
      <c r="C130" s="73" t="n"/>
      <c r="D130" s="73" t="n"/>
      <c r="E130" s="73" t="n"/>
      <c r="F130" s="73" t="n"/>
      <c r="G130" s="73" t="n"/>
      <c r="H130" s="73" t="n"/>
      <c r="I130" s="73" t="n"/>
      <c r="J130" s="73" t="n"/>
      <c r="K130" s="73" t="n"/>
      <c r="L130" s="73" t="n"/>
      <c r="M130" s="73" t="n"/>
      <c r="N130" s="73" t="n"/>
      <c r="O130" s="73" t="n"/>
      <c r="P130" s="73" t="n"/>
      <c r="Q130" s="73" t="n"/>
      <c r="R130" s="73" t="n"/>
      <c r="S130" s="73" t="n"/>
      <c r="T130" s="73" t="n"/>
      <c r="U130" s="73" t="n"/>
      <c r="V130" s="73" t="n"/>
      <c r="W130" s="73" t="n"/>
      <c r="X130" s="73" t="n"/>
    </row>
    <row r="131" ht="75" customHeight="1" s="76">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row>
    <row r="132" ht="75" customHeight="1" s="76">
      <c r="A132" s="73" t="n"/>
      <c r="B132" s="73" t="n"/>
      <c r="C132" s="73" t="n"/>
      <c r="D132" s="73" t="n"/>
      <c r="E132" s="73" t="n"/>
      <c r="F132" s="73" t="n"/>
      <c r="G132" s="73" t="n"/>
      <c r="H132" s="73" t="n"/>
      <c r="I132" s="73" t="n"/>
      <c r="J132" s="73" t="n"/>
      <c r="K132" s="73" t="n"/>
      <c r="L132" s="73" t="n"/>
      <c r="M132" s="73" t="n"/>
      <c r="N132" s="73" t="n"/>
      <c r="O132" s="73" t="n"/>
      <c r="P132" s="73" t="n"/>
      <c r="Q132" s="73" t="n"/>
      <c r="R132" s="73" t="n"/>
      <c r="S132" s="73" t="n"/>
      <c r="T132" s="73" t="n"/>
      <c r="U132" s="73" t="n"/>
      <c r="V132" s="73" t="n"/>
      <c r="W132" s="73" t="n"/>
      <c r="X132" s="73" t="n"/>
    </row>
    <row r="133" ht="75" customHeight="1" s="76">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row>
    <row r="134" ht="75" customHeight="1" s="76">
      <c r="A134" s="73" t="n"/>
      <c r="B134" s="73"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row>
    <row r="135" ht="75" customHeight="1" s="76">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row>
    <row r="136" ht="75" customHeight="1" s="76">
      <c r="A136" s="73" t="n"/>
      <c r="B136" s="73" t="n"/>
      <c r="C136" s="73" t="n"/>
      <c r="D136" s="73" t="n"/>
      <c r="E136" s="73" t="n"/>
      <c r="F136" s="73" t="n"/>
      <c r="G136" s="73" t="n"/>
      <c r="H136" s="73" t="n"/>
      <c r="I136" s="73" t="n"/>
      <c r="J136" s="73" t="n"/>
      <c r="K136" s="73" t="n"/>
      <c r="L136" s="73" t="n"/>
      <c r="M136" s="73" t="n"/>
      <c r="N136" s="73" t="n"/>
      <c r="O136" s="73" t="n"/>
      <c r="P136" s="73" t="n"/>
      <c r="Q136" s="73" t="n"/>
      <c r="R136" s="73" t="n"/>
      <c r="S136" s="73" t="n"/>
      <c r="T136" s="73" t="n"/>
      <c r="U136" s="73" t="n"/>
      <c r="V136" s="73" t="n"/>
      <c r="W136" s="73" t="n"/>
      <c r="X136" s="73" t="n"/>
    </row>
    <row r="137" ht="75" customHeight="1" s="76">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row>
    <row r="138" ht="75" customHeight="1" s="76">
      <c r="A138" s="73" t="n"/>
      <c r="B138" s="73" t="n"/>
      <c r="C138" s="73" t="n"/>
      <c r="D138" s="73" t="n"/>
      <c r="E138" s="73" t="n"/>
      <c r="F138" s="73" t="n"/>
      <c r="G138" s="73" t="n"/>
      <c r="H138" s="73" t="n"/>
      <c r="I138" s="73" t="n"/>
      <c r="J138" s="73" t="n"/>
      <c r="K138" s="73" t="n"/>
      <c r="L138" s="73" t="n"/>
      <c r="M138" s="73" t="n"/>
      <c r="N138" s="73" t="n"/>
      <c r="O138" s="73" t="n"/>
      <c r="P138" s="73" t="n"/>
      <c r="Q138" s="73" t="n"/>
      <c r="R138" s="73" t="n"/>
      <c r="S138" s="73" t="n"/>
      <c r="T138" s="73" t="n"/>
      <c r="U138" s="73" t="n"/>
      <c r="V138" s="73" t="n"/>
      <c r="W138" s="73" t="n"/>
      <c r="X138" s="73" t="n"/>
    </row>
    <row r="139" ht="75" customHeight="1" s="76">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row>
    <row r="140" ht="75" customHeight="1" s="76">
      <c r="A140" s="73" t="n"/>
      <c r="B140" s="73" t="n"/>
      <c r="C140" s="73" t="n"/>
      <c r="D140" s="73" t="n"/>
      <c r="E140" s="73" t="n"/>
      <c r="F140" s="73" t="n"/>
      <c r="G140" s="73" t="n"/>
      <c r="H140" s="73" t="n"/>
      <c r="I140" s="73" t="n"/>
      <c r="J140" s="73" t="n"/>
      <c r="K140" s="73" t="n"/>
      <c r="L140" s="73" t="n"/>
      <c r="M140" s="73" t="n"/>
      <c r="N140" s="73" t="n"/>
      <c r="O140" s="73" t="n"/>
      <c r="P140" s="73" t="n"/>
      <c r="Q140" s="73" t="n"/>
      <c r="R140" s="73" t="n"/>
      <c r="S140" s="73" t="n"/>
      <c r="T140" s="73" t="n"/>
      <c r="U140" s="73" t="n"/>
      <c r="V140" s="73" t="n"/>
      <c r="W140" s="73" t="n"/>
      <c r="X140" s="73" t="n"/>
    </row>
    <row r="141" ht="75" customHeight="1" s="76">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row>
    <row r="142" ht="75" customHeight="1" s="76">
      <c r="A142" s="73" t="n"/>
      <c r="B142" s="73" t="n"/>
      <c r="C142" s="73" t="n"/>
      <c r="D142" s="73" t="n"/>
      <c r="E142" s="73" t="n"/>
      <c r="F142" s="73" t="n"/>
      <c r="G142" s="73" t="n"/>
      <c r="H142" s="73" t="n"/>
      <c r="I142" s="73" t="n"/>
      <c r="J142" s="73" t="n"/>
      <c r="K142" s="73" t="n"/>
      <c r="L142" s="73" t="n"/>
      <c r="M142" s="73" t="n"/>
      <c r="N142" s="73" t="n"/>
      <c r="O142" s="73" t="n"/>
      <c r="P142" s="73" t="n"/>
      <c r="Q142" s="73" t="n"/>
      <c r="R142" s="73" t="n"/>
      <c r="S142" s="73" t="n"/>
      <c r="T142" s="73" t="n"/>
      <c r="U142" s="73" t="n"/>
      <c r="V142" s="73" t="n"/>
      <c r="W142" s="73" t="n"/>
      <c r="X142" s="73" t="n"/>
    </row>
    <row r="143" ht="75" customHeight="1" s="76">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row>
    <row r="144" ht="75" customHeight="1" s="76">
      <c r="A144" s="73" t="n"/>
      <c r="B144" s="73" t="n"/>
      <c r="C144" s="73" t="n"/>
      <c r="D144" s="73" t="n"/>
      <c r="E144" s="73" t="n"/>
      <c r="F144" s="73" t="n"/>
      <c r="G144" s="73" t="n"/>
      <c r="H144" s="73" t="n"/>
      <c r="I144" s="73" t="n"/>
      <c r="J144" s="73" t="n"/>
      <c r="K144" s="73" t="n"/>
      <c r="L144" s="73" t="n"/>
      <c r="M144" s="73" t="n"/>
      <c r="N144" s="73" t="n"/>
      <c r="O144" s="73" t="n"/>
      <c r="P144" s="73" t="n"/>
      <c r="Q144" s="73" t="n"/>
      <c r="R144" s="73" t="n"/>
      <c r="S144" s="73" t="n"/>
      <c r="T144" s="73" t="n"/>
      <c r="U144" s="73" t="n"/>
      <c r="V144" s="73" t="n"/>
      <c r="W144" s="73" t="n"/>
      <c r="X144" s="73" t="n"/>
    </row>
    <row r="145" ht="75" customHeight="1" s="76">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row>
    <row r="146" ht="75" customHeight="1" s="76">
      <c r="A146" s="73" t="n"/>
      <c r="B146" s="73" t="n"/>
      <c r="C146" s="73" t="n"/>
      <c r="D146" s="73" t="n"/>
      <c r="E146" s="73" t="n"/>
      <c r="F146" s="73" t="n"/>
      <c r="G146" s="73" t="n"/>
      <c r="H146" s="73" t="n"/>
      <c r="I146" s="73" t="n"/>
      <c r="J146" s="73" t="n"/>
      <c r="K146" s="73" t="n"/>
      <c r="L146" s="73" t="n"/>
      <c r="M146" s="73" t="n"/>
      <c r="N146" s="73" t="n"/>
      <c r="O146" s="73" t="n"/>
      <c r="P146" s="73" t="n"/>
      <c r="Q146" s="73" t="n"/>
      <c r="R146" s="73" t="n"/>
      <c r="S146" s="73" t="n"/>
      <c r="T146" s="73" t="n"/>
      <c r="U146" s="73" t="n"/>
      <c r="V146" s="73" t="n"/>
      <c r="W146" s="73" t="n"/>
      <c r="X146" s="73" t="n"/>
    </row>
    <row r="147" ht="75" customHeight="1" s="76">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row>
    <row r="148" ht="75" customHeight="1" s="76">
      <c r="A148" s="73" t="n"/>
      <c r="B148" s="73" t="n"/>
      <c r="C148" s="73" t="n"/>
      <c r="D148" s="73" t="n"/>
      <c r="E148" s="73" t="n"/>
      <c r="F148" s="73" t="n"/>
      <c r="G148" s="73" t="n"/>
      <c r="H148" s="73" t="n"/>
      <c r="I148" s="73" t="n"/>
      <c r="J148" s="73" t="n"/>
      <c r="K148" s="73" t="n"/>
      <c r="L148" s="73" t="n"/>
      <c r="M148" s="73" t="n"/>
      <c r="N148" s="73" t="n"/>
      <c r="O148" s="73" t="n"/>
      <c r="P148" s="73" t="n"/>
      <c r="Q148" s="73" t="n"/>
      <c r="R148" s="73" t="n"/>
      <c r="S148" s="73" t="n"/>
      <c r="T148" s="73" t="n"/>
      <c r="U148" s="73" t="n"/>
      <c r="V148" s="73" t="n"/>
      <c r="W148" s="73" t="n"/>
      <c r="X148" s="73" t="n"/>
    </row>
    <row r="149" ht="75" customHeight="1" s="76">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row>
    <row r="150" ht="75" customHeight="1" s="76">
      <c r="A150" s="73" t="n"/>
      <c r="B150" s="73" t="n"/>
      <c r="C150" s="73" t="n"/>
      <c r="D150" s="73" t="n"/>
      <c r="E150" s="73" t="n"/>
      <c r="F150" s="73" t="n"/>
      <c r="G150" s="73" t="n"/>
      <c r="H150" s="73" t="n"/>
      <c r="I150" s="73" t="n"/>
      <c r="J150" s="73" t="n"/>
      <c r="K150" s="73" t="n"/>
      <c r="L150" s="73" t="n"/>
      <c r="M150" s="73" t="n"/>
      <c r="N150" s="73" t="n"/>
      <c r="O150" s="73" t="n"/>
      <c r="P150" s="73" t="n"/>
      <c r="Q150" s="73" t="n"/>
      <c r="R150" s="73" t="n"/>
      <c r="S150" s="73" t="n"/>
      <c r="T150" s="73" t="n"/>
      <c r="U150" s="73" t="n"/>
      <c r="V150" s="73" t="n"/>
      <c r="W150" s="73" t="n"/>
      <c r="X150" s="73" t="n"/>
    </row>
    <row r="151" ht="75" customHeight="1" s="76">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row>
    <row r="152" ht="75" customHeight="1" s="76">
      <c r="A152" s="73" t="n"/>
      <c r="B152" s="73" t="n"/>
      <c r="C152" s="73" t="n"/>
      <c r="D152" s="73" t="n"/>
      <c r="E152" s="73" t="n"/>
      <c r="F152" s="73" t="n"/>
      <c r="G152" s="73" t="n"/>
      <c r="H152" s="73" t="n"/>
      <c r="I152" s="73" t="n"/>
      <c r="J152" s="73" t="n"/>
      <c r="K152" s="73" t="n"/>
      <c r="L152" s="73" t="n"/>
      <c r="M152" s="73" t="n"/>
      <c r="N152" s="73" t="n"/>
      <c r="O152" s="73" t="n"/>
      <c r="P152" s="73" t="n"/>
      <c r="Q152" s="73" t="n"/>
      <c r="R152" s="73" t="n"/>
      <c r="S152" s="73" t="n"/>
      <c r="T152" s="73" t="n"/>
      <c r="U152" s="73" t="n"/>
      <c r="V152" s="73" t="n"/>
      <c r="W152" s="73" t="n"/>
      <c r="X152" s="73" t="n"/>
    </row>
    <row r="153" ht="75" customHeight="1" s="76">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row>
    <row r="154" ht="75" customHeight="1" s="76">
      <c r="A154" s="73" t="n"/>
      <c r="B154" s="73" t="n"/>
      <c r="C154" s="73" t="n"/>
      <c r="D154" s="73" t="n"/>
      <c r="E154" s="73" t="n"/>
      <c r="F154" s="73" t="n"/>
      <c r="G154" s="73" t="n"/>
      <c r="H154" s="73" t="n"/>
      <c r="I154" s="73" t="n"/>
      <c r="J154" s="73" t="n"/>
      <c r="K154" s="73" t="n"/>
      <c r="L154" s="73" t="n"/>
      <c r="M154" s="73" t="n"/>
      <c r="N154" s="73" t="n"/>
      <c r="O154" s="73" t="n"/>
      <c r="P154" s="73" t="n"/>
      <c r="Q154" s="73" t="n"/>
      <c r="R154" s="73" t="n"/>
      <c r="S154" s="73" t="n"/>
      <c r="T154" s="73" t="n"/>
      <c r="U154" s="73" t="n"/>
      <c r="V154" s="73" t="n"/>
      <c r="W154" s="73" t="n"/>
      <c r="X154" s="73" t="n"/>
    </row>
    <row r="155" ht="75" customHeight="1" s="76">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row>
    <row r="156" ht="75" customHeight="1" s="76">
      <c r="A156" s="73" t="n"/>
      <c r="B156" s="73" t="n"/>
      <c r="C156" s="73" t="n"/>
      <c r="D156" s="73" t="n"/>
      <c r="E156" s="73" t="n"/>
      <c r="F156" s="73" t="n"/>
      <c r="G156" s="73" t="n"/>
      <c r="H156" s="73" t="n"/>
      <c r="I156" s="73" t="n"/>
      <c r="J156" s="73" t="n"/>
      <c r="K156" s="73" t="n"/>
      <c r="L156" s="73" t="n"/>
      <c r="M156" s="73" t="n"/>
      <c r="N156" s="73" t="n"/>
      <c r="O156" s="73" t="n"/>
      <c r="P156" s="73" t="n"/>
      <c r="Q156" s="73" t="n"/>
      <c r="R156" s="73" t="n"/>
      <c r="S156" s="73" t="n"/>
      <c r="T156" s="73" t="n"/>
      <c r="U156" s="73" t="n"/>
      <c r="V156" s="73" t="n"/>
      <c r="W156" s="73" t="n"/>
      <c r="X156" s="73" t="n"/>
    </row>
    <row r="157" ht="75" customHeight="1" s="76">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row>
    <row r="158" ht="75" customHeight="1" s="76">
      <c r="A158" s="73" t="n"/>
      <c r="B158" s="73" t="n"/>
      <c r="C158" s="73" t="n"/>
      <c r="D158" s="73" t="n"/>
      <c r="E158" s="73" t="n"/>
      <c r="F158" s="73" t="n"/>
      <c r="G158" s="73" t="n"/>
      <c r="H158" s="73" t="n"/>
      <c r="I158" s="73" t="n"/>
      <c r="J158" s="73" t="n"/>
      <c r="K158" s="73" t="n"/>
      <c r="L158" s="73" t="n"/>
      <c r="M158" s="73" t="n"/>
      <c r="N158" s="73" t="n"/>
      <c r="O158" s="73" t="n"/>
      <c r="P158" s="73" t="n"/>
      <c r="Q158" s="73" t="n"/>
      <c r="R158" s="73" t="n"/>
      <c r="S158" s="73" t="n"/>
      <c r="T158" s="73" t="n"/>
      <c r="U158" s="73" t="n"/>
      <c r="V158" s="73" t="n"/>
      <c r="W158" s="73" t="n"/>
      <c r="X158" s="73" t="n"/>
    </row>
    <row r="159" ht="75" customHeight="1" s="76">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row>
    <row r="160" ht="75" customHeight="1" s="76">
      <c r="A160" s="73" t="n"/>
      <c r="B160" s="73" t="n"/>
      <c r="C160" s="73" t="n"/>
      <c r="D160" s="73" t="n"/>
      <c r="E160" s="73" t="n"/>
      <c r="F160" s="73" t="n"/>
      <c r="G160" s="73" t="n"/>
      <c r="H160" s="73" t="n"/>
      <c r="I160" s="73" t="n"/>
      <c r="J160" s="73" t="n"/>
      <c r="K160" s="73" t="n"/>
      <c r="L160" s="73" t="n"/>
      <c r="M160" s="73" t="n"/>
      <c r="N160" s="73" t="n"/>
      <c r="O160" s="73" t="n"/>
      <c r="P160" s="73" t="n"/>
      <c r="Q160" s="73" t="n"/>
      <c r="R160" s="73" t="n"/>
      <c r="S160" s="73" t="n"/>
      <c r="T160" s="73" t="n"/>
      <c r="U160" s="73" t="n"/>
      <c r="V160" s="73" t="n"/>
      <c r="W160" s="73" t="n"/>
      <c r="X160" s="73" t="n"/>
    </row>
    <row r="161" ht="75" customHeight="1" s="76">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row>
    <row r="162" ht="75" customHeight="1" s="76">
      <c r="A162" s="73" t="n"/>
      <c r="B162" s="73" t="n"/>
      <c r="C162" s="73" t="n"/>
      <c r="D162" s="73" t="n"/>
      <c r="E162" s="73" t="n"/>
      <c r="F162" s="73" t="n"/>
      <c r="G162" s="73" t="n"/>
      <c r="H162" s="73" t="n"/>
      <c r="I162" s="73" t="n"/>
      <c r="J162" s="73" t="n"/>
      <c r="K162" s="73" t="n"/>
      <c r="L162" s="73" t="n"/>
      <c r="M162" s="73" t="n"/>
      <c r="N162" s="73" t="n"/>
      <c r="O162" s="73" t="n"/>
      <c r="P162" s="73" t="n"/>
      <c r="Q162" s="73" t="n"/>
      <c r="R162" s="73" t="n"/>
      <c r="S162" s="73" t="n"/>
      <c r="T162" s="73" t="n"/>
      <c r="U162" s="73" t="n"/>
      <c r="V162" s="73" t="n"/>
      <c r="W162" s="73" t="n"/>
      <c r="X162" s="73" t="n"/>
    </row>
    <row r="163" ht="75" customHeight="1" s="76">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row>
    <row r="164" ht="75" customHeight="1" s="76">
      <c r="A164" s="73" t="n"/>
      <c r="B164" s="73" t="n"/>
      <c r="C164" s="73" t="n"/>
      <c r="D164" s="73" t="n"/>
      <c r="E164" s="73" t="n"/>
      <c r="F164" s="73" t="n"/>
      <c r="G164" s="73" t="n"/>
      <c r="H164" s="73" t="n"/>
      <c r="I164" s="73" t="n"/>
      <c r="J164" s="73" t="n"/>
      <c r="K164" s="73" t="n"/>
      <c r="L164" s="73" t="n"/>
      <c r="M164" s="73" t="n"/>
      <c r="N164" s="73" t="n"/>
      <c r="O164" s="73" t="n"/>
      <c r="P164" s="73" t="n"/>
      <c r="Q164" s="73" t="n"/>
      <c r="R164" s="73" t="n"/>
      <c r="S164" s="73" t="n"/>
      <c r="T164" s="73" t="n"/>
      <c r="U164" s="73" t="n"/>
      <c r="V164" s="73" t="n"/>
      <c r="W164" s="73" t="n"/>
      <c r="X164" s="73" t="n"/>
    </row>
    <row r="165" ht="75" customHeight="1" s="76">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row>
    <row r="166" ht="75" customHeight="1" s="76">
      <c r="A166" s="73" t="n"/>
      <c r="B166" s="73" t="n"/>
      <c r="C166" s="73" t="n"/>
      <c r="D166" s="73" t="n"/>
      <c r="E166" s="73" t="n"/>
      <c r="F166" s="73" t="n"/>
      <c r="G166" s="73" t="n"/>
      <c r="H166" s="73" t="n"/>
      <c r="I166" s="73" t="n"/>
      <c r="J166" s="73" t="n"/>
      <c r="K166" s="73" t="n"/>
      <c r="L166" s="73" t="n"/>
      <c r="M166" s="73" t="n"/>
      <c r="N166" s="73" t="n"/>
      <c r="O166" s="73" t="n"/>
      <c r="P166" s="73" t="n"/>
      <c r="Q166" s="73" t="n"/>
      <c r="R166" s="73" t="n"/>
      <c r="S166" s="73" t="n"/>
      <c r="T166" s="73" t="n"/>
      <c r="U166" s="73" t="n"/>
      <c r="V166" s="73" t="n"/>
      <c r="W166" s="73" t="n"/>
      <c r="X166" s="73" t="n"/>
    </row>
    <row r="167" ht="75" customHeight="1" s="76">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row>
    <row r="168" ht="75" customHeight="1" s="76">
      <c r="A168" s="73" t="n"/>
      <c r="B168" s="73" t="n"/>
      <c r="C168" s="73" t="n"/>
      <c r="D168" s="73" t="n"/>
      <c r="E168" s="73" t="n"/>
      <c r="F168" s="73" t="n"/>
      <c r="G168" s="73" t="n"/>
      <c r="H168" s="73" t="n"/>
      <c r="I168" s="73" t="n"/>
      <c r="J168" s="73" t="n"/>
      <c r="K168" s="73" t="n"/>
      <c r="L168" s="73" t="n"/>
      <c r="M168" s="73" t="n"/>
      <c r="N168" s="73" t="n"/>
      <c r="O168" s="73" t="n"/>
      <c r="P168" s="73" t="n"/>
      <c r="Q168" s="73" t="n"/>
      <c r="R168" s="73" t="n"/>
      <c r="S168" s="73" t="n"/>
      <c r="T168" s="73" t="n"/>
      <c r="U168" s="73" t="n"/>
      <c r="V168" s="73" t="n"/>
      <c r="W168" s="73" t="n"/>
      <c r="X168" s="73" t="n"/>
    </row>
    <row r="169" ht="75" customHeight="1" s="76">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row>
    <row r="170" ht="75" customHeight="1" s="76">
      <c r="A170" s="73" t="n"/>
      <c r="B170" s="73" t="n"/>
      <c r="C170" s="73" t="n"/>
      <c r="D170" s="73" t="n"/>
      <c r="E170" s="73" t="n"/>
      <c r="F170" s="73" t="n"/>
      <c r="G170" s="73" t="n"/>
      <c r="H170" s="73" t="n"/>
      <c r="I170" s="73" t="n"/>
      <c r="J170" s="73" t="n"/>
      <c r="K170" s="73" t="n"/>
      <c r="L170" s="73" t="n"/>
      <c r="M170" s="73" t="n"/>
      <c r="N170" s="73" t="n"/>
      <c r="O170" s="73" t="n"/>
      <c r="P170" s="73" t="n"/>
      <c r="Q170" s="73" t="n"/>
      <c r="R170" s="73" t="n"/>
      <c r="S170" s="73" t="n"/>
      <c r="T170" s="73" t="n"/>
      <c r="U170" s="73" t="n"/>
      <c r="V170" s="73" t="n"/>
      <c r="W170" s="73" t="n"/>
      <c r="X170" s="73" t="n"/>
    </row>
    <row r="171" ht="75" customHeight="1" s="76">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row>
    <row r="172" ht="75" customHeight="1" s="76">
      <c r="A172" s="73" t="n"/>
      <c r="B172" s="73" t="n"/>
      <c r="C172" s="73" t="n"/>
      <c r="D172" s="73" t="n"/>
      <c r="E172" s="73" t="n"/>
      <c r="F172" s="73" t="n"/>
      <c r="G172" s="73" t="n"/>
      <c r="H172" s="73" t="n"/>
      <c r="I172" s="73" t="n"/>
      <c r="J172" s="73" t="n"/>
      <c r="K172" s="73" t="n"/>
      <c r="L172" s="73" t="n"/>
      <c r="M172" s="73" t="n"/>
      <c r="N172" s="73" t="n"/>
      <c r="O172" s="73" t="n"/>
      <c r="P172" s="73" t="n"/>
      <c r="Q172" s="73" t="n"/>
      <c r="R172" s="73" t="n"/>
      <c r="S172" s="73" t="n"/>
      <c r="T172" s="73" t="n"/>
      <c r="U172" s="73" t="n"/>
      <c r="V172" s="73" t="n"/>
      <c r="W172" s="73" t="n"/>
      <c r="X172" s="73" t="n"/>
    </row>
    <row r="173" ht="75" customHeight="1" s="76">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row>
    <row r="174" ht="75" customHeight="1" s="76">
      <c r="A174" s="73" t="n"/>
      <c r="B174" s="73" t="n"/>
      <c r="C174" s="73" t="n"/>
      <c r="D174" s="73" t="n"/>
      <c r="E174" s="73" t="n"/>
      <c r="F174" s="73" t="n"/>
      <c r="G174" s="73" t="n"/>
      <c r="H174" s="73" t="n"/>
      <c r="I174" s="73" t="n"/>
      <c r="J174" s="73" t="n"/>
      <c r="K174" s="73" t="n"/>
      <c r="L174" s="73" t="n"/>
      <c r="M174" s="73" t="n"/>
      <c r="N174" s="73" t="n"/>
      <c r="O174" s="73" t="n"/>
      <c r="P174" s="73" t="n"/>
      <c r="Q174" s="73" t="n"/>
      <c r="R174" s="73" t="n"/>
      <c r="S174" s="73" t="n"/>
      <c r="T174" s="73" t="n"/>
      <c r="U174" s="73" t="n"/>
      <c r="V174" s="73" t="n"/>
      <c r="W174" s="73" t="n"/>
      <c r="X174" s="73" t="n"/>
    </row>
    <row r="175" ht="75" customHeight="1" s="76">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row>
    <row r="176" ht="75" customHeight="1" s="76">
      <c r="A176" s="73" t="n"/>
      <c r="B176" s="73" t="n"/>
      <c r="C176" s="73" t="n"/>
      <c r="D176" s="73" t="n"/>
      <c r="E176" s="73" t="n"/>
      <c r="F176" s="73" t="n"/>
      <c r="G176" s="73" t="n"/>
      <c r="H176" s="73" t="n"/>
      <c r="I176" s="73" t="n"/>
      <c r="J176" s="73" t="n"/>
      <c r="K176" s="73" t="n"/>
      <c r="L176" s="73" t="n"/>
      <c r="M176" s="73" t="n"/>
      <c r="N176" s="73" t="n"/>
      <c r="O176" s="73" t="n"/>
      <c r="P176" s="73" t="n"/>
      <c r="Q176" s="73" t="n"/>
      <c r="R176" s="73" t="n"/>
      <c r="S176" s="73" t="n"/>
      <c r="T176" s="73" t="n"/>
      <c r="U176" s="73" t="n"/>
      <c r="V176" s="73" t="n"/>
      <c r="W176" s="73" t="n"/>
      <c r="X176" s="73" t="n"/>
    </row>
    <row r="177" ht="75" customHeight="1" s="76">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row>
    <row r="178" ht="75" customHeight="1" s="76">
      <c r="A178" s="73" t="n"/>
      <c r="B178" s="73" t="n"/>
      <c r="C178" s="73" t="n"/>
      <c r="D178" s="73" t="n"/>
      <c r="E178" s="73" t="n"/>
      <c r="F178" s="73" t="n"/>
      <c r="G178" s="73" t="n"/>
      <c r="H178" s="73" t="n"/>
      <c r="I178" s="73" t="n"/>
      <c r="J178" s="73" t="n"/>
      <c r="K178" s="73" t="n"/>
      <c r="L178" s="73" t="n"/>
      <c r="M178" s="73" t="n"/>
      <c r="N178" s="73" t="n"/>
      <c r="O178" s="73" t="n"/>
      <c r="P178" s="73" t="n"/>
      <c r="Q178" s="73" t="n"/>
      <c r="R178" s="73" t="n"/>
      <c r="S178" s="73" t="n"/>
      <c r="T178" s="73" t="n"/>
      <c r="U178" s="73" t="n"/>
      <c r="V178" s="73" t="n"/>
      <c r="W178" s="73" t="n"/>
      <c r="X178" s="73" t="n"/>
    </row>
    <row r="179" ht="75" customHeight="1" s="76">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row>
    <row r="180" ht="75" customHeight="1" s="76">
      <c r="A180" s="73" t="n"/>
      <c r="B180" s="73" t="n"/>
      <c r="C180" s="73" t="n"/>
      <c r="D180" s="73" t="n"/>
      <c r="E180" s="73" t="n"/>
      <c r="F180" s="73" t="n"/>
      <c r="G180" s="73" t="n"/>
      <c r="H180" s="73" t="n"/>
      <c r="I180" s="73" t="n"/>
      <c r="J180" s="73" t="n"/>
      <c r="K180" s="73" t="n"/>
      <c r="L180" s="73" t="n"/>
      <c r="M180" s="73" t="n"/>
      <c r="N180" s="73" t="n"/>
      <c r="O180" s="73" t="n"/>
      <c r="P180" s="73" t="n"/>
      <c r="Q180" s="73" t="n"/>
      <c r="R180" s="73" t="n"/>
      <c r="S180" s="73" t="n"/>
      <c r="T180" s="73" t="n"/>
      <c r="U180" s="73" t="n"/>
      <c r="V180" s="73" t="n"/>
      <c r="W180" s="73" t="n"/>
      <c r="X180" s="73" t="n"/>
    </row>
    <row r="181" ht="75" customHeight="1" s="76">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row>
    <row r="182" ht="75" customHeight="1" s="76">
      <c r="A182" s="73" t="n"/>
      <c r="B182" s="73" t="n"/>
      <c r="C182" s="73" t="n"/>
      <c r="D182" s="73" t="n"/>
      <c r="E182" s="73" t="n"/>
      <c r="F182" s="73" t="n"/>
      <c r="G182" s="73" t="n"/>
      <c r="H182" s="73" t="n"/>
      <c r="I182" s="73" t="n"/>
      <c r="J182" s="73" t="n"/>
      <c r="K182" s="73" t="n"/>
      <c r="L182" s="73" t="n"/>
      <c r="M182" s="73" t="n"/>
      <c r="N182" s="73" t="n"/>
      <c r="O182" s="73" t="n"/>
      <c r="P182" s="73" t="n"/>
      <c r="Q182" s="73" t="n"/>
      <c r="R182" s="73" t="n"/>
      <c r="S182" s="73" t="n"/>
      <c r="T182" s="73" t="n"/>
      <c r="U182" s="73" t="n"/>
      <c r="V182" s="73" t="n"/>
      <c r="W182" s="73" t="n"/>
      <c r="X182" s="73" t="n"/>
    </row>
    <row r="183" ht="75" customHeight="1" s="76">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row>
    <row r="184" ht="75" customHeight="1" s="76">
      <c r="A184" s="73" t="n"/>
      <c r="B184" s="73" t="n"/>
      <c r="C184" s="73" t="n"/>
      <c r="D184" s="73" t="n"/>
      <c r="E184" s="73" t="n"/>
      <c r="F184" s="73" t="n"/>
      <c r="G184" s="73" t="n"/>
      <c r="H184" s="73" t="n"/>
      <c r="I184" s="73" t="n"/>
      <c r="J184" s="73" t="n"/>
      <c r="K184" s="73" t="n"/>
      <c r="L184" s="73" t="n"/>
      <c r="M184" s="73" t="n"/>
      <c r="N184" s="73" t="n"/>
      <c r="O184" s="73" t="n"/>
      <c r="P184" s="73" t="n"/>
      <c r="Q184" s="73" t="n"/>
      <c r="R184" s="73" t="n"/>
      <c r="S184" s="73" t="n"/>
      <c r="T184" s="73" t="n"/>
      <c r="U184" s="73" t="n"/>
      <c r="V184" s="73" t="n"/>
      <c r="W184" s="73" t="n"/>
      <c r="X184" s="73" t="n"/>
    </row>
    <row r="185" ht="75" customHeight="1" s="76">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row>
    <row r="186" ht="75" customHeight="1" s="76">
      <c r="A186" s="73" t="n"/>
      <c r="B186" s="73" t="n"/>
      <c r="C186" s="73" t="n"/>
      <c r="D186" s="73" t="n"/>
      <c r="E186" s="73" t="n"/>
      <c r="F186" s="73" t="n"/>
      <c r="G186" s="73" t="n"/>
      <c r="H186" s="73" t="n"/>
      <c r="I186" s="73" t="n"/>
      <c r="J186" s="73" t="n"/>
      <c r="K186" s="73" t="n"/>
      <c r="L186" s="73" t="n"/>
      <c r="M186" s="73" t="n"/>
      <c r="N186" s="73" t="n"/>
      <c r="O186" s="73" t="n"/>
      <c r="P186" s="73" t="n"/>
      <c r="Q186" s="73" t="n"/>
      <c r="R186" s="73" t="n"/>
      <c r="S186" s="73" t="n"/>
      <c r="T186" s="73" t="n"/>
      <c r="U186" s="73" t="n"/>
      <c r="V186" s="73" t="n"/>
      <c r="W186" s="73" t="n"/>
      <c r="X186" s="73" t="n"/>
    </row>
    <row r="187" ht="75" customHeight="1" s="76">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row>
    <row r="188" ht="75" customHeight="1" s="76">
      <c r="A188" s="73" t="n"/>
      <c r="B188" s="73" t="n"/>
      <c r="C188" s="73" t="n"/>
      <c r="D188" s="73" t="n"/>
      <c r="E188" s="73" t="n"/>
      <c r="F188" s="73" t="n"/>
      <c r="G188" s="73" t="n"/>
      <c r="H188" s="73" t="n"/>
      <c r="I188" s="73" t="n"/>
      <c r="J188" s="73" t="n"/>
      <c r="K188" s="73" t="n"/>
      <c r="L188" s="73" t="n"/>
      <c r="M188" s="73" t="n"/>
      <c r="N188" s="73" t="n"/>
      <c r="O188" s="73" t="n"/>
      <c r="P188" s="73" t="n"/>
      <c r="Q188" s="73" t="n"/>
      <c r="R188" s="73" t="n"/>
      <c r="S188" s="73" t="n"/>
      <c r="T188" s="73" t="n"/>
      <c r="U188" s="73" t="n"/>
      <c r="V188" s="73" t="n"/>
      <c r="W188" s="73" t="n"/>
      <c r="X188" s="73" t="n"/>
    </row>
    <row r="189" ht="75" customHeight="1" s="76">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row>
    <row r="190" ht="75" customHeight="1" s="76">
      <c r="A190" s="73" t="n"/>
      <c r="B190" s="73" t="n"/>
      <c r="C190" s="73" t="n"/>
      <c r="D190" s="73" t="n"/>
      <c r="E190" s="73" t="n"/>
      <c r="F190" s="73" t="n"/>
      <c r="G190" s="73" t="n"/>
      <c r="H190" s="73" t="n"/>
      <c r="I190" s="73" t="n"/>
      <c r="J190" s="73" t="n"/>
      <c r="K190" s="73" t="n"/>
      <c r="L190" s="73" t="n"/>
      <c r="M190" s="73" t="n"/>
      <c r="N190" s="73" t="n"/>
      <c r="O190" s="73" t="n"/>
      <c r="P190" s="73" t="n"/>
      <c r="Q190" s="73" t="n"/>
      <c r="R190" s="73" t="n"/>
      <c r="S190" s="73" t="n"/>
      <c r="T190" s="73" t="n"/>
      <c r="U190" s="73" t="n"/>
      <c r="V190" s="73" t="n"/>
      <c r="W190" s="73" t="n"/>
      <c r="X190" s="73" t="n"/>
    </row>
    <row r="191" ht="75" customHeight="1" s="76">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row>
    <row r="192" ht="75" customHeight="1" s="76">
      <c r="A192" s="73" t="n"/>
      <c r="B192" s="73" t="n"/>
      <c r="C192" s="73" t="n"/>
      <c r="D192" s="73" t="n"/>
      <c r="E192" s="73" t="n"/>
      <c r="F192" s="73" t="n"/>
      <c r="G192" s="73" t="n"/>
      <c r="H192" s="73" t="n"/>
      <c r="I192" s="73" t="n"/>
      <c r="J192" s="73" t="n"/>
      <c r="K192" s="73" t="n"/>
      <c r="L192" s="73" t="n"/>
      <c r="M192" s="73" t="n"/>
      <c r="N192" s="73" t="n"/>
      <c r="O192" s="73" t="n"/>
      <c r="P192" s="73" t="n"/>
      <c r="Q192" s="73" t="n"/>
      <c r="R192" s="73" t="n"/>
      <c r="S192" s="73" t="n"/>
      <c r="T192" s="73" t="n"/>
      <c r="U192" s="73" t="n"/>
      <c r="V192" s="73" t="n"/>
      <c r="W192" s="73" t="n"/>
      <c r="X192" s="73" t="n"/>
    </row>
    <row r="193" ht="75" customHeight="1" s="76">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row>
    <row r="194" ht="75" customHeight="1" s="76">
      <c r="A194" s="73" t="n"/>
      <c r="B194" s="73" t="n"/>
      <c r="C194" s="73" t="n"/>
      <c r="D194" s="73" t="n"/>
      <c r="E194" s="73" t="n"/>
      <c r="F194" s="73" t="n"/>
      <c r="G194" s="73" t="n"/>
      <c r="H194" s="73" t="n"/>
      <c r="I194" s="73" t="n"/>
      <c r="J194" s="73" t="n"/>
      <c r="K194" s="73" t="n"/>
      <c r="L194" s="73" t="n"/>
      <c r="M194" s="73" t="n"/>
      <c r="N194" s="73" t="n"/>
      <c r="O194" s="73" t="n"/>
      <c r="P194" s="73" t="n"/>
      <c r="Q194" s="73" t="n"/>
      <c r="R194" s="73" t="n"/>
      <c r="S194" s="73" t="n"/>
      <c r="T194" s="73" t="n"/>
      <c r="U194" s="73" t="n"/>
      <c r="V194" s="73" t="n"/>
      <c r="W194" s="73" t="n"/>
      <c r="X194" s="73" t="n"/>
    </row>
    <row r="195" ht="75" customHeight="1" s="76">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row>
    <row r="196" ht="75" customHeight="1" s="76">
      <c r="A196" s="73" t="n"/>
      <c r="B196" s="73" t="n"/>
      <c r="C196" s="73" t="n"/>
      <c r="D196" s="73" t="n"/>
      <c r="E196" s="73" t="n"/>
      <c r="F196" s="73" t="n"/>
      <c r="G196" s="73" t="n"/>
      <c r="H196" s="73" t="n"/>
      <c r="I196" s="73" t="n"/>
      <c r="J196" s="73" t="n"/>
      <c r="K196" s="73" t="n"/>
      <c r="L196" s="73" t="n"/>
      <c r="M196" s="73" t="n"/>
      <c r="N196" s="73" t="n"/>
      <c r="O196" s="73" t="n"/>
      <c r="P196" s="73" t="n"/>
      <c r="Q196" s="73" t="n"/>
      <c r="R196" s="73" t="n"/>
      <c r="S196" s="73" t="n"/>
      <c r="T196" s="73" t="n"/>
      <c r="U196" s="73" t="n"/>
      <c r="V196" s="73" t="n"/>
      <c r="W196" s="73" t="n"/>
      <c r="X196" s="73" t="n"/>
    </row>
    <row r="197" ht="75" customHeight="1" s="76">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row>
    <row r="198" ht="75" customHeight="1" s="76">
      <c r="A198" s="73" t="n"/>
      <c r="B198" s="73" t="n"/>
      <c r="C198" s="73" t="n"/>
      <c r="D198" s="73" t="n"/>
      <c r="E198" s="73" t="n"/>
      <c r="F198" s="73" t="n"/>
      <c r="G198" s="73" t="n"/>
      <c r="H198" s="73" t="n"/>
      <c r="I198" s="73" t="n"/>
      <c r="J198" s="73" t="n"/>
      <c r="K198" s="73" t="n"/>
      <c r="L198" s="73" t="n"/>
      <c r="M198" s="73" t="n"/>
      <c r="N198" s="73" t="n"/>
      <c r="O198" s="73" t="n"/>
      <c r="P198" s="73" t="n"/>
      <c r="Q198" s="73" t="n"/>
      <c r="R198" s="73" t="n"/>
      <c r="S198" s="73" t="n"/>
      <c r="T198" s="73" t="n"/>
      <c r="U198" s="73" t="n"/>
      <c r="V198" s="73" t="n"/>
      <c r="W198" s="73" t="n"/>
      <c r="X198" s="73" t="n"/>
    </row>
    <row r="199" ht="75" customHeight="1" s="76">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row>
    <row r="200" ht="75" customHeight="1" s="76">
      <c r="A200" s="73" t="n"/>
      <c r="B200" s="73" t="n"/>
      <c r="C200" s="73" t="n"/>
      <c r="D200" s="73" t="n"/>
      <c r="E200" s="73" t="n"/>
      <c r="F200" s="73" t="n"/>
      <c r="G200" s="73" t="n"/>
      <c r="H200" s="73" t="n"/>
      <c r="I200" s="73" t="n"/>
      <c r="J200" s="73" t="n"/>
      <c r="K200" s="73" t="n"/>
      <c r="L200" s="73" t="n"/>
      <c r="M200" s="73" t="n"/>
      <c r="N200" s="73" t="n"/>
      <c r="O200" s="73" t="n"/>
      <c r="P200" s="73" t="n"/>
      <c r="Q200" s="73" t="n"/>
      <c r="R200" s="73" t="n"/>
      <c r="S200" s="73" t="n"/>
      <c r="T200" s="73" t="n"/>
      <c r="U200" s="73" t="n"/>
      <c r="V200" s="73" t="n"/>
      <c r="W200" s="73" t="n"/>
      <c r="X200" s="73" t="n"/>
    </row>
    <row r="201" ht="75" customHeight="1" s="76">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row>
    <row r="202" ht="75" customHeight="1" s="76">
      <c r="A202" s="73" t="n"/>
      <c r="B202" s="73" t="n"/>
      <c r="C202" s="73" t="n"/>
      <c r="D202" s="73" t="n"/>
      <c r="E202" s="73" t="n"/>
      <c r="F202" s="73" t="n"/>
      <c r="G202" s="73" t="n"/>
      <c r="H202" s="73" t="n"/>
      <c r="I202" s="73" t="n"/>
      <c r="J202" s="73" t="n"/>
      <c r="K202" s="73" t="n"/>
      <c r="L202" s="73" t="n"/>
      <c r="M202" s="73" t="n"/>
      <c r="N202" s="73" t="n"/>
      <c r="O202" s="73" t="n"/>
      <c r="P202" s="73" t="n"/>
      <c r="Q202" s="73" t="n"/>
      <c r="R202" s="73" t="n"/>
      <c r="S202" s="73" t="n"/>
      <c r="T202" s="73" t="n"/>
      <c r="U202" s="73" t="n"/>
      <c r="V202" s="73" t="n"/>
      <c r="W202" s="73" t="n"/>
      <c r="X202" s="73" t="n"/>
    </row>
    <row r="203" ht="75" customHeight="1" s="76">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row>
    <row r="204" ht="75" customHeight="1" s="76">
      <c r="A204" s="73" t="n"/>
      <c r="B204" s="73" t="n"/>
      <c r="C204" s="73" t="n"/>
      <c r="D204" s="73" t="n"/>
      <c r="E204" s="73" t="n"/>
      <c r="F204" s="73" t="n"/>
      <c r="G204" s="73" t="n"/>
      <c r="H204" s="73" t="n"/>
      <c r="I204" s="73" t="n"/>
      <c r="J204" s="73" t="n"/>
      <c r="K204" s="73" t="n"/>
      <c r="L204" s="73" t="n"/>
      <c r="M204" s="73" t="n"/>
      <c r="N204" s="73" t="n"/>
      <c r="O204" s="73" t="n"/>
      <c r="P204" s="73" t="n"/>
      <c r="Q204" s="73" t="n"/>
      <c r="R204" s="73" t="n"/>
      <c r="S204" s="73" t="n"/>
      <c r="T204" s="73" t="n"/>
      <c r="U204" s="73" t="n"/>
      <c r="V204" s="73" t="n"/>
      <c r="W204" s="73" t="n"/>
      <c r="X204" s="73" t="n"/>
    </row>
    <row r="205" ht="75" customHeight="1" s="76">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row>
    <row r="206" ht="75" customHeight="1" s="76">
      <c r="A206" s="73" t="n"/>
      <c r="B206" s="73" t="n"/>
      <c r="C206" s="73" t="n"/>
      <c r="D206" s="73" t="n"/>
      <c r="E206" s="73" t="n"/>
      <c r="F206" s="73" t="n"/>
      <c r="G206" s="73" t="n"/>
      <c r="H206" s="73" t="n"/>
      <c r="I206" s="73" t="n"/>
      <c r="J206" s="73" t="n"/>
      <c r="K206" s="73" t="n"/>
      <c r="L206" s="73" t="n"/>
      <c r="M206" s="73" t="n"/>
      <c r="N206" s="73" t="n"/>
      <c r="O206" s="73" t="n"/>
      <c r="P206" s="73" t="n"/>
      <c r="Q206" s="73" t="n"/>
      <c r="R206" s="73" t="n"/>
      <c r="S206" s="73" t="n"/>
      <c r="T206" s="73" t="n"/>
      <c r="U206" s="73" t="n"/>
      <c r="V206" s="73" t="n"/>
      <c r="W206" s="73" t="n"/>
      <c r="X206" s="73" t="n"/>
    </row>
    <row r="207" ht="75" customHeight="1" s="76">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row>
    <row r="208" ht="75" customHeight="1" s="76">
      <c r="A208" s="73" t="n"/>
      <c r="B208" s="73" t="n"/>
      <c r="C208" s="73" t="n"/>
      <c r="D208" s="73" t="n"/>
      <c r="E208" s="73" t="n"/>
      <c r="F208" s="73" t="n"/>
      <c r="G208" s="73" t="n"/>
      <c r="H208" s="73" t="n"/>
      <c r="I208" s="73" t="n"/>
      <c r="J208" s="73" t="n"/>
      <c r="K208" s="73" t="n"/>
      <c r="L208" s="73" t="n"/>
      <c r="M208" s="73" t="n"/>
      <c r="N208" s="73" t="n"/>
      <c r="O208" s="73" t="n"/>
      <c r="P208" s="73" t="n"/>
      <c r="Q208" s="73" t="n"/>
      <c r="R208" s="73" t="n"/>
      <c r="S208" s="73" t="n"/>
      <c r="T208" s="73" t="n"/>
      <c r="U208" s="73" t="n"/>
      <c r="V208" s="73" t="n"/>
      <c r="W208" s="73" t="n"/>
      <c r="X208" s="73" t="n"/>
    </row>
    <row r="209" ht="75" customHeight="1" s="76">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row>
    <row r="210" ht="75" customHeight="1" s="76">
      <c r="A210" s="73" t="n"/>
      <c r="B210" s="73" t="n"/>
      <c r="C210" s="73" t="n"/>
      <c r="D210" s="73" t="n"/>
      <c r="E210" s="73" t="n"/>
      <c r="F210" s="73" t="n"/>
      <c r="G210" s="73" t="n"/>
      <c r="H210" s="73" t="n"/>
      <c r="I210" s="73" t="n"/>
      <c r="J210" s="73" t="n"/>
      <c r="K210" s="73" t="n"/>
      <c r="L210" s="73" t="n"/>
      <c r="M210" s="73" t="n"/>
      <c r="N210" s="73" t="n"/>
      <c r="O210" s="73" t="n"/>
      <c r="P210" s="73" t="n"/>
      <c r="Q210" s="73" t="n"/>
      <c r="R210" s="73" t="n"/>
      <c r="S210" s="73" t="n"/>
      <c r="T210" s="73" t="n"/>
      <c r="U210" s="73" t="n"/>
      <c r="V210" s="73" t="n"/>
      <c r="W210" s="73" t="n"/>
      <c r="X210" s="73" t="n"/>
    </row>
    <row r="211" ht="75" customHeight="1" s="76">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row>
    <row r="212" ht="75" customHeight="1" s="76">
      <c r="A212" s="73" t="n"/>
      <c r="B212" s="73" t="n"/>
      <c r="C212" s="73" t="n"/>
      <c r="D212" s="73" t="n"/>
      <c r="E212" s="73" t="n"/>
      <c r="F212" s="73" t="n"/>
      <c r="G212" s="73" t="n"/>
      <c r="H212" s="73" t="n"/>
      <c r="I212" s="73" t="n"/>
      <c r="J212" s="73" t="n"/>
      <c r="K212" s="73" t="n"/>
      <c r="L212" s="73" t="n"/>
      <c r="M212" s="73" t="n"/>
      <c r="N212" s="73" t="n"/>
      <c r="O212" s="73" t="n"/>
      <c r="P212" s="73" t="n"/>
      <c r="Q212" s="73" t="n"/>
      <c r="R212" s="73" t="n"/>
      <c r="S212" s="73" t="n"/>
      <c r="T212" s="73" t="n"/>
      <c r="U212" s="73" t="n"/>
      <c r="V212" s="73" t="n"/>
      <c r="W212" s="73" t="n"/>
      <c r="X212" s="73" t="n"/>
    </row>
    <row r="213" ht="75" customHeight="1" s="76">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row>
    <row r="214" ht="75" customHeight="1" s="76">
      <c r="A214" s="73" t="n"/>
      <c r="B214" s="73" t="n"/>
      <c r="C214" s="73" t="n"/>
      <c r="D214" s="73" t="n"/>
      <c r="E214" s="73" t="n"/>
      <c r="F214" s="73" t="n"/>
      <c r="G214" s="73" t="n"/>
      <c r="H214" s="73" t="n"/>
      <c r="I214" s="73" t="n"/>
      <c r="J214" s="73" t="n"/>
      <c r="K214" s="73" t="n"/>
      <c r="L214" s="73" t="n"/>
      <c r="M214" s="73" t="n"/>
      <c r="N214" s="73" t="n"/>
      <c r="O214" s="73" t="n"/>
      <c r="P214" s="73" t="n"/>
      <c r="Q214" s="73" t="n"/>
      <c r="R214" s="73" t="n"/>
      <c r="S214" s="73" t="n"/>
      <c r="T214" s="73" t="n"/>
      <c r="U214" s="73" t="n"/>
      <c r="V214" s="73" t="n"/>
      <c r="W214" s="73" t="n"/>
      <c r="X214" s="73" t="n"/>
    </row>
    <row r="215" ht="75" customHeight="1" s="76">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row>
    <row r="216" ht="75" customHeight="1" s="76">
      <c r="A216" s="73" t="n"/>
      <c r="B216" s="73" t="n"/>
      <c r="C216" s="73" t="n"/>
      <c r="D216" s="73" t="n"/>
      <c r="E216" s="73" t="n"/>
      <c r="F216" s="73" t="n"/>
      <c r="G216" s="73" t="n"/>
      <c r="H216" s="73" t="n"/>
      <c r="I216" s="73" t="n"/>
      <c r="J216" s="73" t="n"/>
      <c r="K216" s="73" t="n"/>
      <c r="L216" s="73" t="n"/>
      <c r="M216" s="73" t="n"/>
      <c r="N216" s="73" t="n"/>
      <c r="O216" s="73" t="n"/>
      <c r="P216" s="73" t="n"/>
      <c r="Q216" s="73" t="n"/>
      <c r="R216" s="73" t="n"/>
      <c r="S216" s="73" t="n"/>
      <c r="T216" s="73" t="n"/>
      <c r="U216" s="73" t="n"/>
      <c r="V216" s="73" t="n"/>
      <c r="W216" s="73" t="n"/>
      <c r="X216" s="73" t="n"/>
    </row>
    <row r="217" ht="75" customHeight="1" s="76">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row>
    <row r="218" ht="75" customHeight="1" s="76">
      <c r="A218" s="73" t="n"/>
      <c r="B218" s="73" t="n"/>
      <c r="C218" s="73" t="n"/>
      <c r="D218" s="73" t="n"/>
      <c r="E218" s="73" t="n"/>
      <c r="F218" s="73" t="n"/>
      <c r="G218" s="73" t="n"/>
      <c r="H218" s="73" t="n"/>
      <c r="I218" s="73" t="n"/>
      <c r="J218" s="73" t="n"/>
      <c r="K218" s="73" t="n"/>
      <c r="L218" s="73" t="n"/>
      <c r="M218" s="73" t="n"/>
      <c r="N218" s="73" t="n"/>
      <c r="O218" s="73" t="n"/>
      <c r="P218" s="73" t="n"/>
      <c r="Q218" s="73" t="n"/>
      <c r="R218" s="73" t="n"/>
      <c r="S218" s="73" t="n"/>
      <c r="T218" s="73" t="n"/>
      <c r="U218" s="73" t="n"/>
      <c r="V218" s="73" t="n"/>
      <c r="W218" s="73" t="n"/>
      <c r="X218" s="73" t="n"/>
    </row>
    <row r="219" ht="75" customHeight="1" s="76">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row>
    <row r="220" ht="75" customHeight="1" s="76">
      <c r="A220" s="73" t="n"/>
      <c r="B220" s="73" t="n"/>
      <c r="C220" s="73" t="n"/>
      <c r="D220" s="73" t="n"/>
      <c r="E220" s="73" t="n"/>
      <c r="F220" s="73" t="n"/>
      <c r="G220" s="73" t="n"/>
      <c r="H220" s="73" t="n"/>
      <c r="I220" s="73" t="n"/>
      <c r="J220" s="73" t="n"/>
      <c r="K220" s="73" t="n"/>
      <c r="L220" s="73" t="n"/>
      <c r="M220" s="73" t="n"/>
      <c r="N220" s="73" t="n"/>
      <c r="O220" s="73" t="n"/>
      <c r="P220" s="73" t="n"/>
      <c r="Q220" s="73" t="n"/>
      <c r="R220" s="73" t="n"/>
      <c r="S220" s="73" t="n"/>
      <c r="T220" s="73" t="n"/>
      <c r="U220" s="73" t="n"/>
      <c r="V220" s="73" t="n"/>
      <c r="W220" s="73" t="n"/>
      <c r="X220" s="73" t="n"/>
    </row>
    <row r="221" ht="75" customHeight="1" s="76">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row>
    <row r="222" ht="75" customHeight="1" s="76">
      <c r="A222" s="73" t="n"/>
      <c r="B222" s="73" t="n"/>
      <c r="C222" s="73" t="n"/>
      <c r="D222" s="73" t="n"/>
      <c r="E222" s="73" t="n"/>
      <c r="F222" s="73" t="n"/>
      <c r="G222" s="73" t="n"/>
      <c r="H222" s="73" t="n"/>
      <c r="I222" s="73" t="n"/>
      <c r="J222" s="73" t="n"/>
      <c r="K222" s="73" t="n"/>
      <c r="L222" s="73" t="n"/>
      <c r="M222" s="73" t="n"/>
      <c r="N222" s="73" t="n"/>
      <c r="O222" s="73" t="n"/>
      <c r="P222" s="73" t="n"/>
      <c r="Q222" s="73" t="n"/>
      <c r="R222" s="73" t="n"/>
      <c r="S222" s="73" t="n"/>
      <c r="T222" s="73" t="n"/>
      <c r="U222" s="73" t="n"/>
      <c r="V222" s="73" t="n"/>
      <c r="W222" s="73" t="n"/>
      <c r="X222" s="73" t="n"/>
    </row>
    <row r="223" ht="75" customHeight="1" s="76">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row>
    <row r="224" ht="75" customHeight="1" s="76">
      <c r="A224" s="73" t="n"/>
      <c r="B224" s="73" t="n"/>
      <c r="C224" s="73" t="n"/>
      <c r="D224" s="73" t="n"/>
      <c r="E224" s="73" t="n"/>
      <c r="F224" s="73" t="n"/>
      <c r="G224" s="73" t="n"/>
      <c r="H224" s="73" t="n"/>
      <c r="I224" s="73" t="n"/>
      <c r="J224" s="73" t="n"/>
      <c r="K224" s="73" t="n"/>
      <c r="L224" s="73" t="n"/>
      <c r="M224" s="73" t="n"/>
      <c r="N224" s="73" t="n"/>
      <c r="O224" s="73" t="n"/>
      <c r="P224" s="73" t="n"/>
      <c r="Q224" s="73" t="n"/>
      <c r="R224" s="73" t="n"/>
      <c r="S224" s="73" t="n"/>
      <c r="T224" s="73" t="n"/>
      <c r="U224" s="73" t="n"/>
      <c r="V224" s="73" t="n"/>
      <c r="W224" s="73" t="n"/>
      <c r="X224" s="73" t="n"/>
    </row>
    <row r="225" ht="75" customHeight="1" s="76">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row>
    <row r="226" ht="75" customHeight="1" s="76">
      <c r="A226" s="73" t="n"/>
      <c r="B226" s="73" t="n"/>
      <c r="C226" s="73" t="n"/>
      <c r="D226" s="73" t="n"/>
      <c r="E226" s="73" t="n"/>
      <c r="F226" s="73" t="n"/>
      <c r="G226" s="73" t="n"/>
      <c r="H226" s="73" t="n"/>
      <c r="I226" s="73" t="n"/>
      <c r="J226" s="73" t="n"/>
      <c r="K226" s="73" t="n"/>
      <c r="L226" s="73" t="n"/>
      <c r="M226" s="73" t="n"/>
      <c r="N226" s="73" t="n"/>
      <c r="O226" s="73" t="n"/>
      <c r="P226" s="73" t="n"/>
      <c r="Q226" s="73" t="n"/>
      <c r="R226" s="73" t="n"/>
      <c r="S226" s="73" t="n"/>
      <c r="T226" s="73" t="n"/>
      <c r="U226" s="73" t="n"/>
      <c r="V226" s="73" t="n"/>
      <c r="W226" s="73" t="n"/>
      <c r="X226" s="73" t="n"/>
    </row>
    <row r="227" ht="75" customHeight="1" s="76">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row>
    <row r="228" ht="75" customHeight="1" s="76">
      <c r="A228" s="73" t="n"/>
      <c r="B228" s="73" t="n"/>
      <c r="C228" s="73" t="n"/>
      <c r="D228" s="73" t="n"/>
      <c r="E228" s="73" t="n"/>
      <c r="F228" s="73" t="n"/>
      <c r="G228" s="73" t="n"/>
      <c r="H228" s="73" t="n"/>
      <c r="I228" s="73" t="n"/>
      <c r="J228" s="73" t="n"/>
      <c r="K228" s="73" t="n"/>
      <c r="L228" s="73" t="n"/>
      <c r="M228" s="73" t="n"/>
      <c r="N228" s="73" t="n"/>
      <c r="O228" s="73" t="n"/>
      <c r="P228" s="73" t="n"/>
      <c r="Q228" s="73" t="n"/>
      <c r="R228" s="73" t="n"/>
      <c r="S228" s="73" t="n"/>
      <c r="T228" s="73" t="n"/>
      <c r="U228" s="73" t="n"/>
      <c r="V228" s="73" t="n"/>
      <c r="W228" s="73" t="n"/>
      <c r="X228" s="73" t="n"/>
    </row>
    <row r="229" ht="75" customHeight="1" s="76">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row>
    <row r="230" ht="75" customHeight="1" s="76">
      <c r="A230" s="73" t="n"/>
      <c r="B230" s="73" t="n"/>
      <c r="C230" s="73" t="n"/>
      <c r="D230" s="73" t="n"/>
      <c r="E230" s="73" t="n"/>
      <c r="F230" s="73" t="n"/>
      <c r="G230" s="73" t="n"/>
      <c r="H230" s="73" t="n"/>
      <c r="I230" s="73" t="n"/>
      <c r="J230" s="73" t="n"/>
      <c r="K230" s="73" t="n"/>
      <c r="L230" s="73" t="n"/>
      <c r="M230" s="73" t="n"/>
      <c r="N230" s="73" t="n"/>
      <c r="O230" s="73" t="n"/>
      <c r="P230" s="73" t="n"/>
      <c r="Q230" s="73" t="n"/>
      <c r="R230" s="73" t="n"/>
      <c r="S230" s="73" t="n"/>
      <c r="T230" s="73" t="n"/>
      <c r="U230" s="73" t="n"/>
      <c r="V230" s="73" t="n"/>
      <c r="W230" s="73" t="n"/>
      <c r="X230" s="73" t="n"/>
    </row>
    <row r="231" ht="75" customHeight="1" s="76">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row>
    <row r="232" ht="75" customHeight="1" s="76">
      <c r="A232" s="73" t="n"/>
      <c r="B232" s="73" t="n"/>
      <c r="C232" s="73" t="n"/>
      <c r="D232" s="73" t="n"/>
      <c r="E232" s="73" t="n"/>
      <c r="F232" s="73" t="n"/>
      <c r="G232" s="73" t="n"/>
      <c r="H232" s="73" t="n"/>
      <c r="I232" s="73" t="n"/>
      <c r="J232" s="73" t="n"/>
      <c r="K232" s="73" t="n"/>
      <c r="L232" s="73" t="n"/>
      <c r="M232" s="73" t="n"/>
      <c r="N232" s="73" t="n"/>
      <c r="O232" s="73" t="n"/>
      <c r="P232" s="73" t="n"/>
      <c r="Q232" s="73" t="n"/>
      <c r="R232" s="73" t="n"/>
      <c r="S232" s="73" t="n"/>
      <c r="T232" s="73" t="n"/>
      <c r="U232" s="73" t="n"/>
      <c r="V232" s="73" t="n"/>
      <c r="W232" s="73" t="n"/>
      <c r="X232" s="73" t="n"/>
    </row>
    <row r="233" ht="75" customHeight="1" s="76">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row>
    <row r="234" ht="75" customHeight="1" s="76">
      <c r="A234" s="73" t="n"/>
      <c r="B234" s="73" t="n"/>
      <c r="C234" s="73" t="n"/>
      <c r="D234" s="73" t="n"/>
      <c r="E234" s="73" t="n"/>
      <c r="F234" s="73" t="n"/>
      <c r="G234" s="73" t="n"/>
      <c r="H234" s="73" t="n"/>
      <c r="I234" s="73" t="n"/>
      <c r="J234" s="73" t="n"/>
      <c r="K234" s="73" t="n"/>
      <c r="L234" s="73" t="n"/>
      <c r="M234" s="73" t="n"/>
      <c r="N234" s="73" t="n"/>
      <c r="O234" s="73" t="n"/>
      <c r="P234" s="73" t="n"/>
      <c r="Q234" s="73" t="n"/>
      <c r="R234" s="73" t="n"/>
      <c r="S234" s="73" t="n"/>
      <c r="T234" s="73" t="n"/>
      <c r="U234" s="73" t="n"/>
      <c r="V234" s="73" t="n"/>
      <c r="W234" s="73" t="n"/>
      <c r="X234" s="73" t="n"/>
    </row>
    <row r="235" ht="75" customHeight="1" s="76">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row>
    <row r="236" ht="75" customHeight="1" s="76">
      <c r="A236" s="73" t="n"/>
      <c r="B236" s="73" t="n"/>
      <c r="C236" s="73" t="n"/>
      <c r="D236" s="73" t="n"/>
      <c r="E236" s="73" t="n"/>
      <c r="F236" s="73" t="n"/>
      <c r="G236" s="73" t="n"/>
      <c r="H236" s="73" t="n"/>
      <c r="I236" s="73" t="n"/>
      <c r="J236" s="73" t="n"/>
      <c r="K236" s="73" t="n"/>
      <c r="L236" s="73" t="n"/>
      <c r="M236" s="73" t="n"/>
      <c r="N236" s="73" t="n"/>
      <c r="O236" s="73" t="n"/>
      <c r="P236" s="73" t="n"/>
      <c r="Q236" s="73" t="n"/>
      <c r="R236" s="73" t="n"/>
      <c r="S236" s="73" t="n"/>
      <c r="T236" s="73" t="n"/>
      <c r="U236" s="73" t="n"/>
      <c r="V236" s="73" t="n"/>
      <c r="W236" s="73" t="n"/>
      <c r="X236" s="73" t="n"/>
    </row>
    <row r="237" ht="75" customHeight="1" s="76">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row>
    <row r="238" ht="75" customHeight="1" s="76">
      <c r="A238" s="73" t="n"/>
      <c r="B238" s="73" t="n"/>
      <c r="C238" s="73" t="n"/>
      <c r="D238" s="73" t="n"/>
      <c r="E238" s="73" t="n"/>
      <c r="F238" s="73" t="n"/>
      <c r="G238" s="73" t="n"/>
      <c r="H238" s="73" t="n"/>
      <c r="I238" s="73" t="n"/>
      <c r="J238" s="73" t="n"/>
      <c r="K238" s="73" t="n"/>
      <c r="L238" s="73" t="n"/>
      <c r="M238" s="73" t="n"/>
      <c r="N238" s="73" t="n"/>
      <c r="O238" s="73" t="n"/>
      <c r="P238" s="73" t="n"/>
      <c r="Q238" s="73" t="n"/>
      <c r="R238" s="73" t="n"/>
      <c r="S238" s="73" t="n"/>
      <c r="T238" s="73" t="n"/>
      <c r="U238" s="73" t="n"/>
      <c r="V238" s="73" t="n"/>
      <c r="W238" s="73" t="n"/>
      <c r="X238" s="73" t="n"/>
    </row>
    <row r="239" ht="75" customHeight="1" s="76">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row>
    <row r="240" ht="75" customHeight="1" s="76">
      <c r="A240" s="73" t="n"/>
      <c r="B240" s="73" t="n"/>
      <c r="C240" s="73" t="n"/>
      <c r="D240" s="73" t="n"/>
      <c r="E240" s="73" t="n"/>
      <c r="F240" s="73" t="n"/>
      <c r="G240" s="73" t="n"/>
      <c r="H240" s="73" t="n"/>
      <c r="I240" s="73" t="n"/>
      <c r="J240" s="73" t="n"/>
      <c r="K240" s="73" t="n"/>
      <c r="L240" s="73" t="n"/>
      <c r="M240" s="73" t="n"/>
      <c r="N240" s="73" t="n"/>
      <c r="O240" s="73" t="n"/>
      <c r="P240" s="73" t="n"/>
      <c r="Q240" s="73" t="n"/>
      <c r="R240" s="73" t="n"/>
      <c r="S240" s="73" t="n"/>
      <c r="T240" s="73" t="n"/>
      <c r="U240" s="73" t="n"/>
      <c r="V240" s="73" t="n"/>
      <c r="W240" s="73" t="n"/>
      <c r="X240" s="73" t="n"/>
    </row>
    <row r="241" ht="75" customHeight="1" s="76">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row>
    <row r="242" ht="75" customHeight="1" s="76">
      <c r="A242" s="73" t="n"/>
      <c r="B242" s="73" t="n"/>
      <c r="C242" s="73" t="n"/>
      <c r="D242" s="73" t="n"/>
      <c r="E242" s="73" t="n"/>
      <c r="F242" s="73" t="n"/>
      <c r="G242" s="73" t="n"/>
      <c r="H242" s="73" t="n"/>
      <c r="I242" s="73" t="n"/>
      <c r="J242" s="73" t="n"/>
      <c r="K242" s="73" t="n"/>
      <c r="L242" s="73" t="n"/>
      <c r="M242" s="73" t="n"/>
      <c r="N242" s="73" t="n"/>
      <c r="O242" s="73" t="n"/>
      <c r="P242" s="73" t="n"/>
      <c r="Q242" s="73" t="n"/>
      <c r="R242" s="73" t="n"/>
      <c r="S242" s="73" t="n"/>
      <c r="T242" s="73" t="n"/>
      <c r="U242" s="73" t="n"/>
      <c r="V242" s="73" t="n"/>
      <c r="W242" s="73" t="n"/>
      <c r="X242" s="73" t="n"/>
    </row>
    <row r="243" ht="75" customHeight="1" s="76">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row>
    <row r="244" ht="75" customHeight="1" s="76">
      <c r="A244" s="73" t="n"/>
      <c r="B244" s="73" t="n"/>
      <c r="C244" s="73" t="n"/>
      <c r="D244" s="73" t="n"/>
      <c r="E244" s="73" t="n"/>
      <c r="F244" s="73" t="n"/>
      <c r="G244" s="73" t="n"/>
      <c r="H244" s="73" t="n"/>
      <c r="I244" s="73" t="n"/>
      <c r="J244" s="73" t="n"/>
      <c r="K244" s="73" t="n"/>
      <c r="L244" s="73" t="n"/>
      <c r="M244" s="73" t="n"/>
      <c r="N244" s="73" t="n"/>
      <c r="O244" s="73" t="n"/>
      <c r="P244" s="73" t="n"/>
      <c r="Q244" s="73" t="n"/>
      <c r="R244" s="73" t="n"/>
      <c r="S244" s="73" t="n"/>
      <c r="T244" s="73" t="n"/>
      <c r="U244" s="73" t="n"/>
      <c r="V244" s="73" t="n"/>
      <c r="W244" s="73" t="n"/>
      <c r="X244" s="73" t="n"/>
    </row>
    <row r="245" ht="75" customHeight="1" s="76">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row>
    <row r="246" ht="75" customHeight="1" s="76">
      <c r="A246" s="73" t="n"/>
      <c r="B246" s="73" t="n"/>
      <c r="C246" s="73" t="n"/>
      <c r="D246" s="73" t="n"/>
      <c r="E246" s="73" t="n"/>
      <c r="F246" s="73" t="n"/>
      <c r="G246" s="73" t="n"/>
      <c r="H246" s="73" t="n"/>
      <c r="I246" s="73" t="n"/>
      <c r="J246" s="73" t="n"/>
      <c r="K246" s="73" t="n"/>
      <c r="L246" s="73" t="n"/>
      <c r="M246" s="73" t="n"/>
      <c r="N246" s="73" t="n"/>
      <c r="O246" s="73" t="n"/>
      <c r="P246" s="73" t="n"/>
      <c r="Q246" s="73" t="n"/>
      <c r="R246" s="73" t="n"/>
      <c r="S246" s="73" t="n"/>
      <c r="T246" s="73" t="n"/>
      <c r="U246" s="73" t="n"/>
      <c r="V246" s="73" t="n"/>
      <c r="W246" s="73" t="n"/>
      <c r="X246" s="73" t="n"/>
    </row>
    <row r="247" ht="75" customHeight="1" s="76">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row>
    <row r="248" ht="75" customHeight="1" s="76">
      <c r="A248" s="73" t="n"/>
      <c r="B248" s="73" t="n"/>
      <c r="C248" s="73" t="n"/>
      <c r="D248" s="73" t="n"/>
      <c r="E248" s="73" t="n"/>
      <c r="F248" s="73" t="n"/>
      <c r="G248" s="73" t="n"/>
      <c r="H248" s="73" t="n"/>
      <c r="I248" s="73" t="n"/>
      <c r="J248" s="73" t="n"/>
      <c r="K248" s="73" t="n"/>
      <c r="L248" s="73" t="n"/>
      <c r="M248" s="73" t="n"/>
      <c r="N248" s="73" t="n"/>
      <c r="O248" s="73" t="n"/>
      <c r="P248" s="73" t="n"/>
      <c r="Q248" s="73" t="n"/>
      <c r="R248" s="73" t="n"/>
      <c r="S248" s="73" t="n"/>
      <c r="T248" s="73" t="n"/>
      <c r="U248" s="73" t="n"/>
      <c r="V248" s="73" t="n"/>
      <c r="W248" s="73" t="n"/>
      <c r="X248" s="73" t="n"/>
    </row>
    <row r="249" ht="75" customHeight="1" s="76">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row>
    <row r="250" ht="75" customHeight="1" s="76">
      <c r="A250" s="73" t="n"/>
      <c r="B250" s="73" t="n"/>
      <c r="C250" s="73" t="n"/>
      <c r="D250" s="73" t="n"/>
      <c r="E250" s="73" t="n"/>
      <c r="F250" s="73" t="n"/>
      <c r="G250" s="73" t="n"/>
      <c r="H250" s="73" t="n"/>
      <c r="I250" s="73" t="n"/>
      <c r="J250" s="73" t="n"/>
      <c r="K250" s="73" t="n"/>
      <c r="L250" s="73" t="n"/>
      <c r="M250" s="73" t="n"/>
      <c r="N250" s="73" t="n"/>
      <c r="O250" s="73" t="n"/>
      <c r="P250" s="73" t="n"/>
      <c r="Q250" s="73" t="n"/>
      <c r="R250" s="73" t="n"/>
      <c r="S250" s="73" t="n"/>
      <c r="T250" s="73" t="n"/>
      <c r="U250" s="73" t="n"/>
      <c r="V250" s="73" t="n"/>
      <c r="W250" s="73" t="n"/>
      <c r="X250" s="73" t="n"/>
    </row>
    <row r="251" ht="75" customHeight="1" s="76">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row>
    <row r="252" ht="75" customHeight="1" s="76">
      <c r="A252" s="73" t="n"/>
      <c r="B252" s="73" t="n"/>
      <c r="C252" s="73" t="n"/>
      <c r="D252" s="73" t="n"/>
      <c r="E252" s="73" t="n"/>
      <c r="F252" s="73" t="n"/>
      <c r="G252" s="73" t="n"/>
      <c r="H252" s="73" t="n"/>
      <c r="I252" s="73" t="n"/>
      <c r="J252" s="73" t="n"/>
      <c r="K252" s="73" t="n"/>
      <c r="L252" s="73" t="n"/>
      <c r="M252" s="73" t="n"/>
      <c r="N252" s="73" t="n"/>
      <c r="O252" s="73" t="n"/>
      <c r="P252" s="73" t="n"/>
      <c r="Q252" s="73" t="n"/>
      <c r="R252" s="73" t="n"/>
      <c r="S252" s="73" t="n"/>
      <c r="T252" s="73" t="n"/>
      <c r="U252" s="73" t="n"/>
      <c r="V252" s="73" t="n"/>
      <c r="W252" s="73" t="n"/>
      <c r="X252" s="73" t="n"/>
    </row>
    <row r="253" ht="75" customHeight="1" s="76">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row>
    <row r="254" ht="75" customHeight="1" s="76">
      <c r="A254" s="73" t="n"/>
      <c r="B254" s="73" t="n"/>
      <c r="C254" s="73" t="n"/>
      <c r="D254" s="73" t="n"/>
      <c r="E254" s="73" t="n"/>
      <c r="F254" s="73" t="n"/>
      <c r="G254" s="73" t="n"/>
      <c r="H254" s="73" t="n"/>
      <c r="I254" s="73" t="n"/>
      <c r="J254" s="73" t="n"/>
      <c r="K254" s="73" t="n"/>
      <c r="L254" s="73" t="n"/>
      <c r="M254" s="73" t="n"/>
      <c r="N254" s="73" t="n"/>
      <c r="O254" s="73" t="n"/>
      <c r="P254" s="73" t="n"/>
      <c r="Q254" s="73" t="n"/>
      <c r="R254" s="73" t="n"/>
      <c r="S254" s="73" t="n"/>
      <c r="T254" s="73" t="n"/>
      <c r="U254" s="73" t="n"/>
      <c r="V254" s="73" t="n"/>
      <c r="W254" s="73" t="n"/>
      <c r="X254" s="73" t="n"/>
    </row>
    <row r="255" ht="75" customHeight="1" s="76">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row>
    <row r="256" ht="75" customHeight="1" s="76">
      <c r="A256" s="73" t="n"/>
      <c r="B256" s="73" t="n"/>
      <c r="C256" s="73" t="n"/>
      <c r="D256" s="73" t="n"/>
      <c r="E256" s="73" t="n"/>
      <c r="F256" s="73" t="n"/>
      <c r="G256" s="73" t="n"/>
      <c r="H256" s="73" t="n"/>
      <c r="I256" s="73" t="n"/>
      <c r="J256" s="73" t="n"/>
      <c r="K256" s="73" t="n"/>
      <c r="L256" s="73" t="n"/>
      <c r="M256" s="73" t="n"/>
      <c r="N256" s="73" t="n"/>
      <c r="O256" s="73" t="n"/>
      <c r="P256" s="73" t="n"/>
      <c r="Q256" s="73" t="n"/>
      <c r="R256" s="73" t="n"/>
      <c r="S256" s="73" t="n"/>
      <c r="T256" s="73" t="n"/>
      <c r="U256" s="73" t="n"/>
      <c r="V256" s="73" t="n"/>
      <c r="W256" s="73" t="n"/>
      <c r="X256" s="73" t="n"/>
    </row>
    <row r="257" ht="75" customHeight="1" s="76">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row>
    <row r="258" ht="75" customHeight="1" s="76">
      <c r="A258" s="73" t="n"/>
      <c r="B258" s="73" t="n"/>
      <c r="C258" s="73" t="n"/>
      <c r="D258" s="73" t="n"/>
      <c r="E258" s="73" t="n"/>
      <c r="F258" s="73" t="n"/>
      <c r="G258" s="73" t="n"/>
      <c r="H258" s="73" t="n"/>
      <c r="I258" s="73" t="n"/>
      <c r="J258" s="73" t="n"/>
      <c r="K258" s="73" t="n"/>
      <c r="L258" s="73" t="n"/>
      <c r="M258" s="73" t="n"/>
      <c r="N258" s="73" t="n"/>
      <c r="O258" s="73" t="n"/>
      <c r="P258" s="73" t="n"/>
      <c r="Q258" s="73" t="n"/>
      <c r="R258" s="73" t="n"/>
      <c r="S258" s="73" t="n"/>
      <c r="T258" s="73" t="n"/>
      <c r="U258" s="73" t="n"/>
      <c r="V258" s="73" t="n"/>
      <c r="W258" s="73" t="n"/>
      <c r="X258" s="73" t="n"/>
    </row>
    <row r="259" ht="75" customHeight="1" s="76">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row>
    <row r="260" ht="75" customHeight="1" s="76">
      <c r="A260" s="73" t="n"/>
      <c r="B260" s="73" t="n"/>
      <c r="C260" s="73" t="n"/>
      <c r="D260" s="73" t="n"/>
      <c r="E260" s="73" t="n"/>
      <c r="F260" s="73" t="n"/>
      <c r="G260" s="73" t="n"/>
      <c r="H260" s="73" t="n"/>
      <c r="I260" s="73" t="n"/>
      <c r="J260" s="73" t="n"/>
      <c r="K260" s="73" t="n"/>
      <c r="L260" s="73" t="n"/>
      <c r="M260" s="73" t="n"/>
      <c r="N260" s="73" t="n"/>
      <c r="O260" s="73" t="n"/>
      <c r="P260" s="73" t="n"/>
      <c r="Q260" s="73" t="n"/>
      <c r="R260" s="73" t="n"/>
      <c r="S260" s="73" t="n"/>
      <c r="T260" s="73" t="n"/>
      <c r="U260" s="73" t="n"/>
      <c r="V260" s="73" t="n"/>
      <c r="W260" s="73" t="n"/>
      <c r="X260" s="73" t="n"/>
    </row>
    <row r="261" ht="75" customHeight="1" s="76">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row>
    <row r="262" ht="75" customHeight="1" s="76">
      <c r="A262" s="73" t="n"/>
      <c r="B262" s="73" t="n"/>
      <c r="C262" s="73" t="n"/>
      <c r="D262" s="73" t="n"/>
      <c r="E262" s="73" t="n"/>
      <c r="F262" s="73" t="n"/>
      <c r="G262" s="73" t="n"/>
      <c r="H262" s="73" t="n"/>
      <c r="I262" s="73" t="n"/>
      <c r="J262" s="73" t="n"/>
      <c r="K262" s="73" t="n"/>
      <c r="L262" s="73" t="n"/>
      <c r="M262" s="73" t="n"/>
      <c r="N262" s="73" t="n"/>
      <c r="O262" s="73" t="n"/>
      <c r="P262" s="73" t="n"/>
      <c r="Q262" s="73" t="n"/>
      <c r="R262" s="73" t="n"/>
      <c r="S262" s="73" t="n"/>
      <c r="T262" s="73" t="n"/>
      <c r="U262" s="73" t="n"/>
      <c r="V262" s="73" t="n"/>
      <c r="W262" s="73" t="n"/>
      <c r="X262" s="73" t="n"/>
    </row>
    <row r="263" ht="75" customHeight="1" s="76">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row>
    <row r="264" ht="75" customHeight="1" s="76">
      <c r="A264" s="73" t="n"/>
      <c r="B264" s="73" t="n"/>
      <c r="C264" s="73" t="n"/>
      <c r="D264" s="73" t="n"/>
      <c r="E264" s="73" t="n"/>
      <c r="F264" s="73" t="n"/>
      <c r="G264" s="73" t="n"/>
      <c r="H264" s="73" t="n"/>
      <c r="I264" s="73" t="n"/>
      <c r="J264" s="73" t="n"/>
      <c r="K264" s="73" t="n"/>
      <c r="L264" s="73" t="n"/>
      <c r="M264" s="73" t="n"/>
      <c r="N264" s="73" t="n"/>
      <c r="O264" s="73" t="n"/>
      <c r="P264" s="73" t="n"/>
      <c r="Q264" s="73" t="n"/>
      <c r="R264" s="73" t="n"/>
      <c r="S264" s="73" t="n"/>
      <c r="T264" s="73" t="n"/>
      <c r="U264" s="73" t="n"/>
      <c r="V264" s="73" t="n"/>
      <c r="W264" s="73" t="n"/>
      <c r="X264" s="73" t="n"/>
    </row>
    <row r="265" ht="75" customHeight="1" s="76">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row>
    <row r="266" ht="75" customHeight="1" s="76">
      <c r="A266" s="73" t="n"/>
      <c r="B266" s="73" t="n"/>
      <c r="C266" s="73" t="n"/>
      <c r="D266" s="73" t="n"/>
      <c r="E266" s="73" t="n"/>
      <c r="F266" s="73" t="n"/>
      <c r="G266" s="73" t="n"/>
      <c r="H266" s="73" t="n"/>
      <c r="I266" s="73" t="n"/>
      <c r="J266" s="73" t="n"/>
      <c r="K266" s="73" t="n"/>
      <c r="L266" s="73" t="n"/>
      <c r="M266" s="73" t="n"/>
      <c r="N266" s="73" t="n"/>
      <c r="O266" s="73" t="n"/>
      <c r="P266" s="73" t="n"/>
      <c r="Q266" s="73" t="n"/>
      <c r="R266" s="73" t="n"/>
      <c r="S266" s="73" t="n"/>
      <c r="T266" s="73" t="n"/>
      <c r="U266" s="73" t="n"/>
      <c r="V266" s="73" t="n"/>
      <c r="W266" s="73" t="n"/>
      <c r="X266" s="73" t="n"/>
    </row>
    <row r="267" ht="75" customHeight="1" s="76">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row>
    <row r="268" ht="75" customHeight="1" s="76">
      <c r="A268" s="73" t="n"/>
      <c r="B268" s="73" t="n"/>
      <c r="C268" s="73" t="n"/>
      <c r="D268" s="73" t="n"/>
      <c r="E268" s="73" t="n"/>
      <c r="F268" s="73" t="n"/>
      <c r="G268" s="73" t="n"/>
      <c r="H268" s="73" t="n"/>
      <c r="I268" s="73" t="n"/>
      <c r="J268" s="73" t="n"/>
      <c r="K268" s="73" t="n"/>
      <c r="L268" s="73" t="n"/>
      <c r="M268" s="73" t="n"/>
      <c r="N268" s="73" t="n"/>
      <c r="O268" s="73" t="n"/>
      <c r="P268" s="73" t="n"/>
      <c r="Q268" s="73" t="n"/>
      <c r="R268" s="73" t="n"/>
      <c r="S268" s="73" t="n"/>
      <c r="T268" s="73" t="n"/>
      <c r="U268" s="73" t="n"/>
      <c r="V268" s="73" t="n"/>
      <c r="W268" s="73" t="n"/>
      <c r="X268" s="73" t="n"/>
    </row>
    <row r="269" ht="75" customHeight="1" s="76">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row>
    <row r="270" ht="75" customHeight="1" s="76">
      <c r="A270" s="73" t="n"/>
      <c r="B270" s="73" t="n"/>
      <c r="C270" s="73" t="n"/>
      <c r="D270" s="73" t="n"/>
      <c r="E270" s="73" t="n"/>
      <c r="F270" s="73" t="n"/>
      <c r="G270" s="73" t="n"/>
      <c r="H270" s="73" t="n"/>
      <c r="I270" s="73" t="n"/>
      <c r="J270" s="73" t="n"/>
      <c r="K270" s="73" t="n"/>
      <c r="L270" s="73" t="n"/>
      <c r="M270" s="73" t="n"/>
      <c r="N270" s="73" t="n"/>
      <c r="O270" s="73" t="n"/>
      <c r="P270" s="73" t="n"/>
      <c r="Q270" s="73" t="n"/>
      <c r="R270" s="73" t="n"/>
      <c r="S270" s="73" t="n"/>
      <c r="T270" s="73" t="n"/>
      <c r="U270" s="73" t="n"/>
      <c r="V270" s="73" t="n"/>
      <c r="W270" s="73" t="n"/>
      <c r="X270" s="73" t="n"/>
    </row>
    <row r="271" ht="75" customHeight="1" s="76">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row>
    <row r="272" ht="75" customHeight="1" s="76">
      <c r="A272" s="73" t="n"/>
      <c r="B272" s="73" t="n"/>
      <c r="C272" s="73" t="n"/>
      <c r="D272" s="73" t="n"/>
      <c r="E272" s="73" t="n"/>
      <c r="F272" s="73" t="n"/>
      <c r="G272" s="73" t="n"/>
      <c r="H272" s="73" t="n"/>
      <c r="I272" s="73" t="n"/>
      <c r="J272" s="73" t="n"/>
      <c r="K272" s="73" t="n"/>
      <c r="L272" s="73" t="n"/>
      <c r="M272" s="73" t="n"/>
      <c r="N272" s="73" t="n"/>
      <c r="O272" s="73" t="n"/>
      <c r="P272" s="73" t="n"/>
      <c r="Q272" s="73" t="n"/>
      <c r="R272" s="73" t="n"/>
      <c r="S272" s="73" t="n"/>
      <c r="T272" s="73" t="n"/>
      <c r="U272" s="73" t="n"/>
      <c r="V272" s="73" t="n"/>
      <c r="W272" s="73" t="n"/>
      <c r="X272" s="73" t="n"/>
    </row>
    <row r="273" ht="75" customHeight="1" s="76">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row>
    <row r="274" ht="75" customHeight="1" s="76">
      <c r="A274" s="73" t="n"/>
      <c r="B274" s="73" t="n"/>
      <c r="C274" s="73" t="n"/>
      <c r="D274" s="73" t="n"/>
      <c r="E274" s="73" t="n"/>
      <c r="F274" s="73" t="n"/>
      <c r="G274" s="73" t="n"/>
      <c r="H274" s="73" t="n"/>
      <c r="I274" s="73" t="n"/>
      <c r="J274" s="73" t="n"/>
      <c r="K274" s="73" t="n"/>
      <c r="L274" s="73" t="n"/>
      <c r="M274" s="73" t="n"/>
      <c r="N274" s="73" t="n"/>
      <c r="O274" s="73" t="n"/>
      <c r="P274" s="73" t="n"/>
      <c r="Q274" s="73" t="n"/>
      <c r="R274" s="73" t="n"/>
      <c r="S274" s="73" t="n"/>
      <c r="T274" s="73" t="n"/>
      <c r="U274" s="73" t="n"/>
      <c r="V274" s="73" t="n"/>
      <c r="W274" s="73" t="n"/>
      <c r="X274" s="73" t="n"/>
    </row>
    <row r="275" ht="75" customHeight="1" s="76">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row>
    <row r="276" ht="75" customHeight="1" s="76">
      <c r="A276" s="73" t="n"/>
      <c r="B276" s="73" t="n"/>
      <c r="C276" s="73" t="n"/>
      <c r="D276" s="73" t="n"/>
      <c r="E276" s="73" t="n"/>
      <c r="F276" s="73" t="n"/>
      <c r="G276" s="73" t="n"/>
      <c r="H276" s="73" t="n"/>
      <c r="I276" s="73" t="n"/>
      <c r="J276" s="73" t="n"/>
      <c r="K276" s="73" t="n"/>
      <c r="L276" s="73" t="n"/>
      <c r="M276" s="73" t="n"/>
      <c r="N276" s="73" t="n"/>
      <c r="O276" s="73" t="n"/>
      <c r="P276" s="73" t="n"/>
      <c r="Q276" s="73" t="n"/>
      <c r="R276" s="73" t="n"/>
      <c r="S276" s="73" t="n"/>
      <c r="T276" s="73" t="n"/>
      <c r="U276" s="73" t="n"/>
      <c r="V276" s="73" t="n"/>
      <c r="W276" s="73" t="n"/>
      <c r="X276" s="73" t="n"/>
    </row>
    <row r="277" ht="75" customHeight="1" s="76">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row>
    <row r="278" ht="75" customHeight="1" s="76">
      <c r="A278" s="73" t="n"/>
      <c r="B278" s="73" t="n"/>
      <c r="C278" s="73" t="n"/>
      <c r="D278" s="73" t="n"/>
      <c r="E278" s="73" t="n"/>
      <c r="F278" s="73" t="n"/>
      <c r="G278" s="73" t="n"/>
      <c r="H278" s="73" t="n"/>
      <c r="I278" s="73" t="n"/>
      <c r="J278" s="73" t="n"/>
      <c r="K278" s="73" t="n"/>
      <c r="L278" s="73" t="n"/>
      <c r="M278" s="73" t="n"/>
      <c r="N278" s="73" t="n"/>
      <c r="O278" s="73" t="n"/>
      <c r="P278" s="73" t="n"/>
      <c r="Q278" s="73" t="n"/>
      <c r="R278" s="73" t="n"/>
      <c r="S278" s="73" t="n"/>
      <c r="T278" s="73" t="n"/>
      <c r="U278" s="73" t="n"/>
      <c r="V278" s="73" t="n"/>
      <c r="W278" s="73" t="n"/>
      <c r="X278" s="73" t="n"/>
    </row>
    <row r="279" ht="75" customHeight="1" s="76">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row>
    <row r="280" ht="75" customHeight="1" s="76">
      <c r="A280" s="73" t="n"/>
      <c r="B280" s="73" t="n"/>
      <c r="C280" s="73" t="n"/>
      <c r="D280" s="73" t="n"/>
      <c r="E280" s="73" t="n"/>
      <c r="F280" s="73" t="n"/>
      <c r="G280" s="73" t="n"/>
      <c r="H280" s="73" t="n"/>
      <c r="I280" s="73" t="n"/>
      <c r="J280" s="73" t="n"/>
      <c r="K280" s="73" t="n"/>
      <c r="L280" s="73" t="n"/>
      <c r="M280" s="73" t="n"/>
      <c r="N280" s="73" t="n"/>
      <c r="O280" s="73" t="n"/>
      <c r="P280" s="73" t="n"/>
      <c r="Q280" s="73" t="n"/>
      <c r="R280" s="73" t="n"/>
      <c r="S280" s="73" t="n"/>
      <c r="T280" s="73" t="n"/>
      <c r="U280" s="73" t="n"/>
      <c r="V280" s="73" t="n"/>
      <c r="W280" s="73" t="n"/>
      <c r="X280" s="73" t="n"/>
    </row>
    <row r="281" ht="75" customHeight="1" s="76">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row>
    <row r="282" ht="75" customHeight="1" s="76">
      <c r="A282" s="73" t="n"/>
      <c r="B282" s="73" t="n"/>
      <c r="C282" s="73" t="n"/>
      <c r="D282" s="73" t="n"/>
      <c r="E282" s="73" t="n"/>
      <c r="F282" s="73" t="n"/>
      <c r="G282" s="73" t="n"/>
      <c r="H282" s="73" t="n"/>
      <c r="I282" s="73" t="n"/>
      <c r="J282" s="73" t="n"/>
      <c r="K282" s="73" t="n"/>
      <c r="L282" s="73" t="n"/>
      <c r="M282" s="73" t="n"/>
      <c r="N282" s="73" t="n"/>
      <c r="O282" s="73" t="n"/>
      <c r="P282" s="73" t="n"/>
      <c r="Q282" s="73" t="n"/>
      <c r="R282" s="73" t="n"/>
      <c r="S282" s="73" t="n"/>
      <c r="T282" s="73" t="n"/>
      <c r="U282" s="73" t="n"/>
      <c r="V282" s="73" t="n"/>
      <c r="W282" s="73" t="n"/>
      <c r="X282" s="73" t="n"/>
    </row>
    <row r="283" ht="75" customHeight="1" s="76">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row>
    <row r="284" ht="75" customHeight="1" s="76">
      <c r="A284" s="73" t="n"/>
      <c r="B284" s="73" t="n"/>
      <c r="C284" s="73" t="n"/>
      <c r="D284" s="73" t="n"/>
      <c r="E284" s="73" t="n"/>
      <c r="F284" s="73" t="n"/>
      <c r="G284" s="73" t="n"/>
      <c r="H284" s="73" t="n"/>
      <c r="I284" s="73" t="n"/>
      <c r="J284" s="73" t="n"/>
      <c r="K284" s="73" t="n"/>
      <c r="L284" s="73" t="n"/>
      <c r="M284" s="73" t="n"/>
      <c r="N284" s="73" t="n"/>
      <c r="O284" s="73" t="n"/>
      <c r="P284" s="73" t="n"/>
      <c r="Q284" s="73" t="n"/>
      <c r="R284" s="73" t="n"/>
      <c r="S284" s="73" t="n"/>
      <c r="T284" s="73" t="n"/>
      <c r="U284" s="73" t="n"/>
      <c r="V284" s="73" t="n"/>
      <c r="W284" s="73" t="n"/>
      <c r="X284" s="73" t="n"/>
    </row>
    <row r="285" ht="75" customHeight="1" s="76">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row>
    <row r="286" ht="75" customHeight="1" s="76">
      <c r="A286" s="73" t="n"/>
      <c r="B286" s="73" t="n"/>
      <c r="C286" s="73" t="n"/>
      <c r="D286" s="73" t="n"/>
      <c r="E286" s="73" t="n"/>
      <c r="F286" s="73" t="n"/>
      <c r="G286" s="73" t="n"/>
      <c r="H286" s="73" t="n"/>
      <c r="I286" s="73" t="n"/>
      <c r="J286" s="73" t="n"/>
      <c r="K286" s="73" t="n"/>
      <c r="L286" s="73" t="n"/>
      <c r="M286" s="73" t="n"/>
      <c r="N286" s="73" t="n"/>
      <c r="O286" s="73" t="n"/>
      <c r="P286" s="73" t="n"/>
      <c r="Q286" s="73" t="n"/>
      <c r="R286" s="73" t="n"/>
      <c r="S286" s="73" t="n"/>
      <c r="T286" s="73" t="n"/>
      <c r="U286" s="73" t="n"/>
      <c r="V286" s="73" t="n"/>
      <c r="W286" s="73" t="n"/>
      <c r="X286" s="73" t="n"/>
    </row>
    <row r="287" ht="75" customHeight="1" s="76">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row>
    <row r="288" ht="75" customHeight="1" s="76">
      <c r="A288" s="73" t="n"/>
      <c r="B288" s="73" t="n"/>
      <c r="C288" s="73" t="n"/>
      <c r="D288" s="73" t="n"/>
      <c r="E288" s="73" t="n"/>
      <c r="F288" s="73" t="n"/>
      <c r="G288" s="73" t="n"/>
      <c r="H288" s="73" t="n"/>
      <c r="I288" s="73" t="n"/>
      <c r="J288" s="73" t="n"/>
      <c r="K288" s="73" t="n"/>
      <c r="L288" s="73" t="n"/>
      <c r="M288" s="73" t="n"/>
      <c r="N288" s="73" t="n"/>
      <c r="O288" s="73" t="n"/>
      <c r="P288" s="73" t="n"/>
      <c r="Q288" s="73" t="n"/>
      <c r="R288" s="73" t="n"/>
      <c r="S288" s="73" t="n"/>
      <c r="T288" s="73" t="n"/>
      <c r="U288" s="73" t="n"/>
      <c r="V288" s="73" t="n"/>
      <c r="W288" s="73" t="n"/>
      <c r="X288" s="73" t="n"/>
    </row>
    <row r="289" ht="75" customHeight="1" s="76">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row>
    <row r="290" ht="75" customHeight="1" s="76">
      <c r="A290" s="73" t="n"/>
      <c r="B290" s="73" t="n"/>
      <c r="C290" s="73" t="n"/>
      <c r="D290" s="73" t="n"/>
      <c r="E290" s="73" t="n"/>
      <c r="F290" s="73" t="n"/>
      <c r="G290" s="73" t="n"/>
      <c r="H290" s="73" t="n"/>
      <c r="I290" s="73" t="n"/>
      <c r="J290" s="73" t="n"/>
      <c r="K290" s="73" t="n"/>
      <c r="L290" s="73" t="n"/>
      <c r="M290" s="73" t="n"/>
      <c r="N290" s="73" t="n"/>
      <c r="O290" s="73" t="n"/>
      <c r="P290" s="73" t="n"/>
      <c r="Q290" s="73" t="n"/>
      <c r="R290" s="73" t="n"/>
      <c r="S290" s="73" t="n"/>
      <c r="T290" s="73" t="n"/>
      <c r="U290" s="73" t="n"/>
      <c r="V290" s="73" t="n"/>
      <c r="W290" s="73" t="n"/>
      <c r="X290" s="73" t="n"/>
    </row>
    <row r="291" ht="75" customHeight="1" s="76">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row>
    <row r="292" ht="75" customHeight="1" s="76">
      <c r="A292" s="73" t="n"/>
      <c r="B292" s="73" t="n"/>
      <c r="C292" s="73" t="n"/>
      <c r="D292" s="73" t="n"/>
      <c r="E292" s="73" t="n"/>
      <c r="F292" s="73" t="n"/>
      <c r="G292" s="73" t="n"/>
      <c r="H292" s="73" t="n"/>
      <c r="I292" s="73" t="n"/>
      <c r="J292" s="73" t="n"/>
      <c r="K292" s="73" t="n"/>
      <c r="L292" s="73" t="n"/>
      <c r="M292" s="73" t="n"/>
      <c r="N292" s="73" t="n"/>
      <c r="O292" s="73" t="n"/>
      <c r="P292" s="73" t="n"/>
      <c r="Q292" s="73" t="n"/>
      <c r="R292" s="73" t="n"/>
      <c r="S292" s="73" t="n"/>
      <c r="T292" s="73" t="n"/>
      <c r="U292" s="73" t="n"/>
      <c r="V292" s="73" t="n"/>
      <c r="W292" s="73" t="n"/>
      <c r="X292" s="73" t="n"/>
    </row>
    <row r="293" ht="75" customHeight="1" s="76">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row>
    <row r="294" ht="75" customHeight="1" s="76">
      <c r="A294" s="73" t="n"/>
      <c r="B294" s="73" t="n"/>
      <c r="C294" s="73" t="n"/>
      <c r="D294" s="73" t="n"/>
      <c r="E294" s="73" t="n"/>
      <c r="F294" s="73" t="n"/>
      <c r="G294" s="73" t="n"/>
      <c r="H294" s="73" t="n"/>
      <c r="I294" s="73" t="n"/>
      <c r="J294" s="73" t="n"/>
      <c r="K294" s="73" t="n"/>
      <c r="L294" s="73" t="n"/>
      <c r="M294" s="73" t="n"/>
      <c r="N294" s="73" t="n"/>
      <c r="O294" s="73" t="n"/>
      <c r="P294" s="73" t="n"/>
      <c r="Q294" s="73" t="n"/>
      <c r="R294" s="73" t="n"/>
      <c r="S294" s="73" t="n"/>
      <c r="T294" s="73" t="n"/>
      <c r="U294" s="73" t="n"/>
      <c r="V294" s="73" t="n"/>
      <c r="W294" s="73" t="n"/>
      <c r="X294" s="73" t="n"/>
    </row>
    <row r="295" ht="75" customHeight="1" s="76">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row>
    <row r="296" ht="75" customHeight="1" s="76">
      <c r="A296" s="73" t="n"/>
      <c r="B296" s="73" t="n"/>
      <c r="C296" s="73" t="n"/>
      <c r="D296" s="73" t="n"/>
      <c r="E296" s="73" t="n"/>
      <c r="F296" s="73" t="n"/>
      <c r="G296" s="73" t="n"/>
      <c r="H296" s="73" t="n"/>
      <c r="I296" s="73" t="n"/>
      <c r="J296" s="73" t="n"/>
      <c r="K296" s="73" t="n"/>
      <c r="L296" s="73" t="n"/>
      <c r="M296" s="73" t="n"/>
      <c r="N296" s="73" t="n"/>
      <c r="O296" s="73" t="n"/>
      <c r="P296" s="73" t="n"/>
      <c r="Q296" s="73" t="n"/>
      <c r="R296" s="73" t="n"/>
      <c r="S296" s="73" t="n"/>
      <c r="T296" s="73" t="n"/>
      <c r="U296" s="73" t="n"/>
      <c r="V296" s="73" t="n"/>
      <c r="W296" s="73" t="n"/>
      <c r="X296" s="73" t="n"/>
    </row>
    <row r="297" ht="75" customHeight="1" s="76">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row>
    <row r="298" ht="75" customHeight="1" s="76">
      <c r="A298" s="73" t="n"/>
      <c r="B298" s="73" t="n"/>
      <c r="C298" s="73" t="n"/>
      <c r="D298" s="73" t="n"/>
      <c r="E298" s="73" t="n"/>
      <c r="F298" s="73" t="n"/>
      <c r="G298" s="73" t="n"/>
      <c r="H298" s="73" t="n"/>
      <c r="I298" s="73" t="n"/>
      <c r="J298" s="73" t="n"/>
      <c r="K298" s="73" t="n"/>
      <c r="L298" s="73" t="n"/>
      <c r="M298" s="73" t="n"/>
      <c r="N298" s="73" t="n"/>
      <c r="O298" s="73" t="n"/>
      <c r="P298" s="73" t="n"/>
      <c r="Q298" s="73" t="n"/>
      <c r="R298" s="73" t="n"/>
      <c r="S298" s="73" t="n"/>
      <c r="T298" s="73" t="n"/>
      <c r="U298" s="73" t="n"/>
      <c r="V298" s="73" t="n"/>
      <c r="W298" s="73" t="n"/>
      <c r="X298" s="73" t="n"/>
    </row>
    <row r="299" ht="75" customHeight="1" s="76">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row>
    <row r="300" ht="75" customHeight="1" s="76">
      <c r="A300" s="73" t="n"/>
      <c r="B300" s="73" t="n"/>
      <c r="C300" s="73" t="n"/>
      <c r="D300" s="73" t="n"/>
      <c r="E300" s="73" t="n"/>
      <c r="F300" s="73" t="n"/>
      <c r="G300" s="73" t="n"/>
      <c r="H300" s="73" t="n"/>
      <c r="I300" s="73" t="n"/>
      <c r="J300" s="73" t="n"/>
      <c r="K300" s="73" t="n"/>
      <c r="L300" s="73" t="n"/>
      <c r="M300" s="73" t="n"/>
      <c r="N300" s="73" t="n"/>
      <c r="O300" s="73" t="n"/>
      <c r="P300" s="73" t="n"/>
      <c r="Q300" s="73" t="n"/>
      <c r="R300" s="73" t="n"/>
      <c r="S300" s="73" t="n"/>
      <c r="T300" s="73" t="n"/>
      <c r="U300" s="73" t="n"/>
      <c r="V300" s="73" t="n"/>
      <c r="W300" s="73" t="n"/>
      <c r="X300" s="73" t="n"/>
    </row>
    <row r="301" ht="75" customHeight="1" s="76">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row>
    <row r="302" ht="75" customHeight="1" s="76">
      <c r="A302" s="73" t="n"/>
      <c r="B302" s="73" t="n"/>
      <c r="C302" s="73" t="n"/>
      <c r="D302" s="73" t="n"/>
      <c r="E302" s="73" t="n"/>
      <c r="F302" s="73" t="n"/>
      <c r="G302" s="73" t="n"/>
      <c r="H302" s="73" t="n"/>
      <c r="I302" s="73" t="n"/>
      <c r="J302" s="73" t="n"/>
      <c r="K302" s="73" t="n"/>
      <c r="L302" s="73" t="n"/>
      <c r="M302" s="73" t="n"/>
      <c r="N302" s="73" t="n"/>
      <c r="O302" s="73" t="n"/>
      <c r="P302" s="73" t="n"/>
      <c r="Q302" s="73" t="n"/>
      <c r="R302" s="73" t="n"/>
      <c r="S302" s="73" t="n"/>
      <c r="T302" s="73" t="n"/>
      <c r="U302" s="73" t="n"/>
      <c r="V302" s="73" t="n"/>
      <c r="W302" s="73" t="n"/>
      <c r="X302" s="73" t="n"/>
    </row>
    <row r="303" ht="75" customHeight="1" s="76">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row>
    <row r="304" ht="75" customHeight="1" s="76">
      <c r="A304" s="73" t="n"/>
      <c r="B304" s="73" t="n"/>
      <c r="C304" s="73" t="n"/>
      <c r="D304" s="73" t="n"/>
      <c r="E304" s="73" t="n"/>
      <c r="F304" s="73" t="n"/>
      <c r="G304" s="73" t="n"/>
      <c r="H304" s="73" t="n"/>
      <c r="I304" s="73" t="n"/>
      <c r="J304" s="73" t="n"/>
      <c r="K304" s="73" t="n"/>
      <c r="L304" s="73" t="n"/>
      <c r="M304" s="73" t="n"/>
      <c r="N304" s="73" t="n"/>
      <c r="O304" s="73" t="n"/>
      <c r="P304" s="73" t="n"/>
      <c r="Q304" s="73" t="n"/>
      <c r="R304" s="73" t="n"/>
      <c r="S304" s="73" t="n"/>
      <c r="T304" s="73" t="n"/>
      <c r="U304" s="73" t="n"/>
      <c r="V304" s="73" t="n"/>
      <c r="W304" s="73" t="n"/>
      <c r="X304" s="73" t="n"/>
    </row>
    <row r="305" ht="75" customHeight="1" s="76">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row>
    <row r="306" ht="75" customHeight="1" s="76">
      <c r="A306" s="73" t="n"/>
      <c r="B306" s="73" t="n"/>
      <c r="C306" s="73" t="n"/>
      <c r="D306" s="73" t="n"/>
      <c r="E306" s="73" t="n"/>
      <c r="F306" s="73" t="n"/>
      <c r="G306" s="73" t="n"/>
      <c r="H306" s="73" t="n"/>
      <c r="I306" s="73" t="n"/>
      <c r="J306" s="73" t="n"/>
      <c r="K306" s="73" t="n"/>
      <c r="L306" s="73" t="n"/>
      <c r="M306" s="73" t="n"/>
      <c r="N306" s="73" t="n"/>
      <c r="O306" s="73" t="n"/>
      <c r="P306" s="73" t="n"/>
      <c r="Q306" s="73" t="n"/>
      <c r="R306" s="73" t="n"/>
      <c r="S306" s="73" t="n"/>
      <c r="T306" s="73" t="n"/>
      <c r="U306" s="73" t="n"/>
      <c r="V306" s="73" t="n"/>
      <c r="W306" s="73" t="n"/>
      <c r="X306" s="73" t="n"/>
    </row>
    <row r="307" ht="75" customHeight="1" s="76">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row>
    <row r="308">
      <c r="A308" s="73" t="n"/>
      <c r="B308" s="73" t="n"/>
      <c r="C308" s="73" t="n"/>
      <c r="D308" s="73" t="n"/>
      <c r="E308" s="73" t="n"/>
      <c r="F308" s="73" t="n"/>
      <c r="G308" s="73" t="n"/>
      <c r="H308" s="73" t="n"/>
      <c r="I308" s="73" t="n"/>
      <c r="J308" s="73" t="n"/>
      <c r="K308" s="73" t="n"/>
      <c r="L308" s="73" t="n"/>
      <c r="M308" s="73" t="n"/>
      <c r="N308" s="73" t="n"/>
      <c r="O308" s="73" t="n"/>
      <c r="P308" s="73" t="n"/>
      <c r="Q308" s="73" t="n"/>
      <c r="R308" s="73" t="n"/>
      <c r="S308" s="73" t="n"/>
      <c r="T308" s="73" t="n"/>
      <c r="U308" s="73" t="n"/>
      <c r="V308" s="73" t="n"/>
      <c r="W308" s="73" t="n"/>
      <c r="X308" s="73" t="n"/>
    </row>
    <row r="309">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row>
    <row r="310">
      <c r="A310" s="73" t="n"/>
      <c r="B310" s="73" t="n"/>
      <c r="C310" s="73" t="n"/>
      <c r="D310" s="73" t="n"/>
      <c r="E310" s="73" t="n"/>
      <c r="F310" s="73" t="n"/>
      <c r="G310" s="73" t="n"/>
      <c r="H310" s="73" t="n"/>
      <c r="I310" s="73" t="n"/>
      <c r="J310" s="73" t="n"/>
      <c r="K310" s="73" t="n"/>
      <c r="L310" s="73" t="n"/>
      <c r="M310" s="73" t="n"/>
      <c r="N310" s="73" t="n"/>
      <c r="O310" s="73" t="n"/>
      <c r="P310" s="73" t="n"/>
      <c r="Q310" s="73" t="n"/>
      <c r="R310" s="73" t="n"/>
      <c r="S310" s="73" t="n"/>
      <c r="T310" s="73" t="n"/>
      <c r="U310" s="73" t="n"/>
      <c r="V310" s="73" t="n"/>
      <c r="W310" s="73" t="n"/>
      <c r="X310" s="73" t="n"/>
    </row>
    <row r="311">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row>
    <row r="312">
      <c r="A312" s="73" t="n"/>
      <c r="B312" s="73" t="n"/>
      <c r="C312" s="73" t="n"/>
      <c r="D312" s="73" t="n"/>
      <c r="E312" s="73" t="n"/>
      <c r="F312" s="73" t="n"/>
      <c r="G312" s="73" t="n"/>
      <c r="H312" s="73" t="n"/>
      <c r="I312" s="73" t="n"/>
      <c r="J312" s="73" t="n"/>
      <c r="K312" s="73" t="n"/>
      <c r="L312" s="73" t="n"/>
      <c r="M312" s="73" t="n"/>
      <c r="N312" s="73" t="n"/>
      <c r="O312" s="73" t="n"/>
      <c r="P312" s="73" t="n"/>
      <c r="Q312" s="73" t="n"/>
      <c r="R312" s="73" t="n"/>
      <c r="S312" s="73" t="n"/>
      <c r="T312" s="73" t="n"/>
      <c r="U312" s="73" t="n"/>
      <c r="V312" s="73" t="n"/>
      <c r="W312" s="73" t="n"/>
      <c r="X312" s="73" t="n"/>
    </row>
    <row r="313">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row>
    <row r="314">
      <c r="A314" s="73" t="n"/>
      <c r="B314" s="73" t="n"/>
      <c r="C314" s="73" t="n"/>
      <c r="D314" s="73" t="n"/>
      <c r="E314" s="73" t="n"/>
      <c r="F314" s="73" t="n"/>
      <c r="G314" s="73" t="n"/>
      <c r="H314" s="73" t="n"/>
      <c r="I314" s="73" t="n"/>
      <c r="J314" s="73" t="n"/>
      <c r="K314" s="73" t="n"/>
      <c r="L314" s="73" t="n"/>
      <c r="M314" s="73" t="n"/>
      <c r="N314" s="73" t="n"/>
      <c r="O314" s="73" t="n"/>
      <c r="P314" s="73" t="n"/>
      <c r="Q314" s="73" t="n"/>
      <c r="R314" s="73" t="n"/>
      <c r="S314" s="73" t="n"/>
      <c r="T314" s="73" t="n"/>
      <c r="U314" s="73" t="n"/>
      <c r="V314" s="73" t="n"/>
      <c r="W314" s="73" t="n"/>
      <c r="X314" s="73" t="n"/>
    </row>
    <row r="315">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row>
    <row r="316">
      <c r="A316" s="73" t="n"/>
      <c r="B316" s="73" t="n"/>
      <c r="C316" s="73" t="n"/>
      <c r="D316" s="73" t="n"/>
      <c r="E316" s="73" t="n"/>
      <c r="F316" s="73" t="n"/>
      <c r="G316" s="73" t="n"/>
      <c r="H316" s="73" t="n"/>
      <c r="I316" s="73" t="n"/>
      <c r="J316" s="73" t="n"/>
      <c r="K316" s="73" t="n"/>
      <c r="L316" s="73" t="n"/>
      <c r="M316" s="73" t="n"/>
      <c r="N316" s="73" t="n"/>
      <c r="O316" s="73" t="n"/>
      <c r="P316" s="73" t="n"/>
      <c r="Q316" s="73" t="n"/>
      <c r="R316" s="73" t="n"/>
      <c r="S316" s="73" t="n"/>
      <c r="T316" s="73" t="n"/>
      <c r="U316" s="73" t="n"/>
      <c r="V316" s="73" t="n"/>
      <c r="W316" s="73" t="n"/>
      <c r="X316" s="73" t="n"/>
    </row>
    <row r="317">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row>
    <row r="318">
      <c r="A318" s="73" t="n"/>
      <c r="B318" s="73" t="n"/>
      <c r="C318" s="73" t="n"/>
      <c r="D318" s="73" t="n"/>
      <c r="E318" s="73" t="n"/>
      <c r="F318" s="73" t="n"/>
      <c r="G318" s="73" t="n"/>
      <c r="H318" s="73" t="n"/>
      <c r="I318" s="73" t="n"/>
      <c r="J318" s="73" t="n"/>
      <c r="K318" s="73" t="n"/>
      <c r="L318" s="73" t="n"/>
      <c r="M318" s="73" t="n"/>
      <c r="N318" s="73" t="n"/>
      <c r="O318" s="73" t="n"/>
      <c r="P318" s="73" t="n"/>
      <c r="Q318" s="73" t="n"/>
      <c r="R318" s="73" t="n"/>
      <c r="S318" s="73" t="n"/>
      <c r="T318" s="73" t="n"/>
      <c r="U318" s="73" t="n"/>
      <c r="V318" s="73" t="n"/>
      <c r="W318" s="73" t="n"/>
      <c r="X318" s="73" t="n"/>
    </row>
    <row r="319">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row>
    <row r="320">
      <c r="A320" s="73" t="n"/>
      <c r="B320" s="73" t="n"/>
      <c r="C320" s="73" t="n"/>
      <c r="D320" s="73" t="n"/>
      <c r="E320" s="73" t="n"/>
      <c r="F320" s="73" t="n"/>
      <c r="G320" s="73" t="n"/>
      <c r="H320" s="73" t="n"/>
      <c r="I320" s="73" t="n"/>
      <c r="J320" s="73" t="n"/>
      <c r="K320" s="73" t="n"/>
      <c r="L320" s="73" t="n"/>
      <c r="M320" s="73" t="n"/>
      <c r="N320" s="73" t="n"/>
      <c r="O320" s="73" t="n"/>
      <c r="P320" s="73" t="n"/>
      <c r="Q320" s="73" t="n"/>
      <c r="R320" s="73" t="n"/>
      <c r="S320" s="73" t="n"/>
      <c r="T320" s="73" t="n"/>
      <c r="U320" s="73" t="n"/>
      <c r="V320" s="73" t="n"/>
      <c r="W320" s="73" t="n"/>
      <c r="X320" s="73" t="n"/>
    </row>
    <row r="321">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row>
    <row r="322">
      <c r="A322" s="73" t="n"/>
      <c r="B322" s="73" t="n"/>
      <c r="C322" s="73" t="n"/>
      <c r="D322" s="73" t="n"/>
      <c r="E322" s="73" t="n"/>
      <c r="F322" s="73" t="n"/>
      <c r="G322" s="73" t="n"/>
      <c r="H322" s="73" t="n"/>
      <c r="I322" s="73" t="n"/>
      <c r="J322" s="73" t="n"/>
      <c r="K322" s="73" t="n"/>
      <c r="L322" s="73" t="n"/>
      <c r="M322" s="73" t="n"/>
      <c r="N322" s="73" t="n"/>
      <c r="O322" s="73" t="n"/>
      <c r="P322" s="73" t="n"/>
      <c r="Q322" s="73" t="n"/>
      <c r="R322" s="73" t="n"/>
      <c r="S322" s="73" t="n"/>
      <c r="T322" s="73" t="n"/>
      <c r="U322" s="73" t="n"/>
      <c r="V322" s="73" t="n"/>
      <c r="W322" s="73" t="n"/>
      <c r="X322" s="73" t="n"/>
    </row>
    <row r="323">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row>
    <row r="324">
      <c r="A324" s="73" t="n"/>
      <c r="B324" s="73" t="n"/>
      <c r="C324" s="73" t="n"/>
      <c r="D324" s="73" t="n"/>
      <c r="E324" s="73" t="n"/>
      <c r="F324" s="73" t="n"/>
      <c r="G324" s="73" t="n"/>
      <c r="H324" s="73" t="n"/>
      <c r="I324" s="73" t="n"/>
      <c r="J324" s="73" t="n"/>
      <c r="K324" s="73" t="n"/>
      <c r="L324" s="73" t="n"/>
      <c r="M324" s="73" t="n"/>
      <c r="N324" s="73" t="n"/>
      <c r="O324" s="73" t="n"/>
      <c r="P324" s="73" t="n"/>
      <c r="Q324" s="73" t="n"/>
      <c r="R324" s="73" t="n"/>
      <c r="S324" s="73" t="n"/>
      <c r="T324" s="73" t="n"/>
      <c r="U324" s="73" t="n"/>
      <c r="V324" s="73" t="n"/>
      <c r="W324" s="73" t="n"/>
      <c r="X324" s="73" t="n"/>
    </row>
    <row r="325">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row>
    <row r="326">
      <c r="A326" s="73" t="n"/>
      <c r="B326" s="73" t="n"/>
      <c r="C326" s="73" t="n"/>
      <c r="D326" s="73" t="n"/>
      <c r="E326" s="73" t="n"/>
      <c r="F326" s="73" t="n"/>
      <c r="G326" s="73" t="n"/>
      <c r="H326" s="73" t="n"/>
      <c r="I326" s="73" t="n"/>
      <c r="J326" s="73" t="n"/>
      <c r="K326" s="73" t="n"/>
      <c r="L326" s="73" t="n"/>
      <c r="M326" s="73" t="n"/>
      <c r="N326" s="73" t="n"/>
      <c r="O326" s="73" t="n"/>
      <c r="P326" s="73" t="n"/>
      <c r="Q326" s="73" t="n"/>
      <c r="R326" s="73" t="n"/>
      <c r="S326" s="73" t="n"/>
      <c r="T326" s="73" t="n"/>
      <c r="U326" s="73" t="n"/>
      <c r="V326" s="73" t="n"/>
      <c r="W326" s="73" t="n"/>
      <c r="X326" s="73" t="n"/>
    </row>
    <row r="327">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row>
    <row r="328">
      <c r="A328" s="73" t="n"/>
      <c r="B328" s="73" t="n"/>
      <c r="C328" s="73" t="n"/>
      <c r="D328" s="73" t="n"/>
      <c r="E328" s="73" t="n"/>
      <c r="F328" s="73" t="n"/>
      <c r="G328" s="73" t="n"/>
      <c r="H328" s="73" t="n"/>
      <c r="I328" s="73" t="n"/>
      <c r="J328" s="73" t="n"/>
      <c r="K328" s="73" t="n"/>
      <c r="L328" s="73" t="n"/>
      <c r="M328" s="73" t="n"/>
      <c r="N328" s="73" t="n"/>
      <c r="O328" s="73" t="n"/>
      <c r="P328" s="73" t="n"/>
      <c r="Q328" s="73" t="n"/>
      <c r="R328" s="73" t="n"/>
      <c r="S328" s="73" t="n"/>
      <c r="T328" s="73" t="n"/>
      <c r="U328" s="73" t="n"/>
      <c r="V328" s="73" t="n"/>
      <c r="W328" s="73" t="n"/>
      <c r="X328" s="73" t="n"/>
    </row>
    <row r="329">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row>
    <row r="330">
      <c r="A330" s="73" t="n"/>
      <c r="B330" s="73" t="n"/>
      <c r="C330" s="73" t="n"/>
      <c r="D330" s="73" t="n"/>
      <c r="E330" s="73" t="n"/>
      <c r="F330" s="73" t="n"/>
      <c r="G330" s="73" t="n"/>
      <c r="H330" s="73" t="n"/>
      <c r="I330" s="73" t="n"/>
      <c r="J330" s="73" t="n"/>
      <c r="K330" s="73" t="n"/>
      <c r="L330" s="73" t="n"/>
      <c r="M330" s="73" t="n"/>
      <c r="N330" s="73" t="n"/>
      <c r="O330" s="73" t="n"/>
      <c r="P330" s="73" t="n"/>
      <c r="Q330" s="73" t="n"/>
      <c r="R330" s="73" t="n"/>
      <c r="S330" s="73" t="n"/>
      <c r="T330" s="73" t="n"/>
      <c r="U330" s="73" t="n"/>
      <c r="V330" s="73" t="n"/>
      <c r="W330" s="73" t="n"/>
      <c r="X330" s="73" t="n"/>
    </row>
    <row r="331">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row>
    <row r="332">
      <c r="A332" s="73" t="n"/>
      <c r="B332" s="73" t="n"/>
      <c r="C332" s="73" t="n"/>
      <c r="D332" s="73" t="n"/>
      <c r="E332" s="73" t="n"/>
      <c r="F332" s="73" t="n"/>
      <c r="G332" s="73" t="n"/>
      <c r="H332" s="73" t="n"/>
      <c r="I332" s="73" t="n"/>
      <c r="J332" s="73" t="n"/>
      <c r="K332" s="73" t="n"/>
      <c r="L332" s="73" t="n"/>
      <c r="M332" s="73" t="n"/>
      <c r="N332" s="73" t="n"/>
      <c r="O332" s="73" t="n"/>
      <c r="P332" s="73" t="n"/>
      <c r="Q332" s="73" t="n"/>
      <c r="R332" s="73" t="n"/>
      <c r="S332" s="73" t="n"/>
      <c r="T332" s="73" t="n"/>
      <c r="U332" s="73" t="n"/>
      <c r="V332" s="73" t="n"/>
      <c r="W332" s="73" t="n"/>
      <c r="X332" s="73" t="n"/>
    </row>
    <row r="333">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row>
    <row r="334">
      <c r="A334" s="73" t="n"/>
      <c r="B334" s="73" t="n"/>
      <c r="C334" s="73" t="n"/>
      <c r="D334" s="73" t="n"/>
      <c r="E334" s="73" t="n"/>
      <c r="F334" s="73" t="n"/>
      <c r="G334" s="73" t="n"/>
      <c r="H334" s="73" t="n"/>
      <c r="I334" s="73" t="n"/>
      <c r="J334" s="73" t="n"/>
      <c r="K334" s="73" t="n"/>
      <c r="L334" s="73" t="n"/>
      <c r="M334" s="73" t="n"/>
      <c r="N334" s="73" t="n"/>
      <c r="O334" s="73" t="n"/>
      <c r="P334" s="73" t="n"/>
      <c r="Q334" s="73" t="n"/>
      <c r="R334" s="73" t="n"/>
      <c r="S334" s="73" t="n"/>
      <c r="T334" s="73" t="n"/>
      <c r="U334" s="73" t="n"/>
      <c r="V334" s="73" t="n"/>
      <c r="W334" s="73" t="n"/>
      <c r="X334" s="73" t="n"/>
    </row>
    <row r="335">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row>
    <row r="336">
      <c r="A336" s="73" t="n"/>
      <c r="B336" s="73" t="n"/>
      <c r="C336" s="73" t="n"/>
      <c r="D336" s="73" t="n"/>
      <c r="E336" s="73" t="n"/>
      <c r="F336" s="73" t="n"/>
      <c r="G336" s="73" t="n"/>
      <c r="H336" s="73" t="n"/>
      <c r="I336" s="73" t="n"/>
      <c r="J336" s="73" t="n"/>
      <c r="K336" s="73" t="n"/>
      <c r="L336" s="73" t="n"/>
      <c r="M336" s="73" t="n"/>
      <c r="N336" s="73" t="n"/>
      <c r="O336" s="73" t="n"/>
      <c r="P336" s="73" t="n"/>
      <c r="Q336" s="73" t="n"/>
      <c r="R336" s="73" t="n"/>
      <c r="S336" s="73" t="n"/>
      <c r="T336" s="73" t="n"/>
      <c r="U336" s="73" t="n"/>
      <c r="V336" s="73" t="n"/>
      <c r="W336" s="73" t="n"/>
      <c r="X336" s="73" t="n"/>
    </row>
    <row r="337">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row>
    <row r="338">
      <c r="A338" s="73" t="n"/>
      <c r="B338" s="73" t="n"/>
      <c r="C338" s="73" t="n"/>
      <c r="D338" s="73" t="n"/>
      <c r="E338" s="73" t="n"/>
      <c r="F338" s="73" t="n"/>
      <c r="G338" s="73" t="n"/>
      <c r="H338" s="73" t="n"/>
      <c r="I338" s="73" t="n"/>
      <c r="J338" s="73" t="n"/>
      <c r="K338" s="73" t="n"/>
      <c r="L338" s="73" t="n"/>
      <c r="M338" s="73" t="n"/>
      <c r="N338" s="73" t="n"/>
      <c r="O338" s="73" t="n"/>
      <c r="P338" s="73" t="n"/>
      <c r="Q338" s="73" t="n"/>
      <c r="R338" s="73" t="n"/>
      <c r="S338" s="73" t="n"/>
      <c r="T338" s="73" t="n"/>
      <c r="U338" s="73" t="n"/>
      <c r="V338" s="73" t="n"/>
      <c r="W338" s="73" t="n"/>
      <c r="X338" s="73" t="n"/>
    </row>
    <row r="339">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row>
    <row r="340">
      <c r="A340" s="73" t="n"/>
      <c r="B340" s="73" t="n"/>
      <c r="C340" s="73" t="n"/>
      <c r="D340" s="73" t="n"/>
      <c r="E340" s="73" t="n"/>
      <c r="F340" s="73" t="n"/>
      <c r="G340" s="73" t="n"/>
      <c r="H340" s="73" t="n"/>
      <c r="I340" s="73" t="n"/>
      <c r="J340" s="73" t="n"/>
      <c r="K340" s="73" t="n"/>
      <c r="L340" s="73" t="n"/>
      <c r="M340" s="73" t="n"/>
      <c r="N340" s="73" t="n"/>
      <c r="O340" s="73" t="n"/>
      <c r="P340" s="73" t="n"/>
      <c r="Q340" s="73" t="n"/>
      <c r="R340" s="73" t="n"/>
      <c r="S340" s="73" t="n"/>
      <c r="T340" s="73" t="n"/>
      <c r="U340" s="73" t="n"/>
      <c r="V340" s="73" t="n"/>
      <c r="W340" s="73" t="n"/>
      <c r="X340" s="73" t="n"/>
    </row>
    <row r="341">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row>
    <row r="342">
      <c r="A342" s="73" t="n"/>
      <c r="B342" s="73" t="n"/>
      <c r="C342" s="73" t="n"/>
      <c r="D342" s="73" t="n"/>
      <c r="E342" s="73" t="n"/>
      <c r="F342" s="73" t="n"/>
      <c r="G342" s="73" t="n"/>
      <c r="H342" s="73" t="n"/>
      <c r="I342" s="73" t="n"/>
      <c r="J342" s="73" t="n"/>
      <c r="K342" s="73" t="n"/>
      <c r="L342" s="73" t="n"/>
      <c r="M342" s="73" t="n"/>
      <c r="N342" s="73" t="n"/>
      <c r="O342" s="73" t="n"/>
      <c r="P342" s="73" t="n"/>
      <c r="Q342" s="73" t="n"/>
      <c r="R342" s="73" t="n"/>
      <c r="S342" s="73" t="n"/>
      <c r="T342" s="73" t="n"/>
      <c r="U342" s="73" t="n"/>
      <c r="V342" s="73" t="n"/>
      <c r="W342" s="73" t="n"/>
      <c r="X342" s="73" t="n"/>
    </row>
    <row r="343">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row>
    <row r="344">
      <c r="A344" s="73" t="n"/>
      <c r="B344" s="73" t="n"/>
      <c r="C344" s="73" t="n"/>
      <c r="D344" s="73" t="n"/>
      <c r="E344" s="73" t="n"/>
      <c r="F344" s="73" t="n"/>
      <c r="G344" s="73" t="n"/>
      <c r="H344" s="73" t="n"/>
      <c r="I344" s="73" t="n"/>
      <c r="J344" s="73" t="n"/>
      <c r="K344" s="73" t="n"/>
      <c r="L344" s="73" t="n"/>
      <c r="M344" s="73" t="n"/>
      <c r="N344" s="73" t="n"/>
      <c r="O344" s="73" t="n"/>
      <c r="P344" s="73" t="n"/>
      <c r="Q344" s="73" t="n"/>
      <c r="R344" s="73" t="n"/>
      <c r="S344" s="73" t="n"/>
      <c r="T344" s="73" t="n"/>
      <c r="U344" s="73" t="n"/>
      <c r="V344" s="73" t="n"/>
      <c r="W344" s="73" t="n"/>
      <c r="X344" s="73" t="n"/>
    </row>
    <row r="345">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row>
    <row r="346">
      <c r="A346" s="73" t="n"/>
      <c r="B346" s="73" t="n"/>
      <c r="C346" s="73" t="n"/>
      <c r="D346" s="73" t="n"/>
      <c r="E346" s="73" t="n"/>
      <c r="F346" s="73" t="n"/>
      <c r="G346" s="73" t="n"/>
      <c r="H346" s="73" t="n"/>
      <c r="I346" s="73" t="n"/>
      <c r="J346" s="73" t="n"/>
      <c r="K346" s="73" t="n"/>
      <c r="L346" s="73" t="n"/>
      <c r="M346" s="73" t="n"/>
      <c r="N346" s="73" t="n"/>
      <c r="O346" s="73" t="n"/>
      <c r="P346" s="73" t="n"/>
      <c r="Q346" s="73" t="n"/>
      <c r="R346" s="73" t="n"/>
      <c r="S346" s="73" t="n"/>
      <c r="T346" s="73" t="n"/>
      <c r="U346" s="73" t="n"/>
      <c r="V346" s="73" t="n"/>
      <c r="W346" s="73" t="n"/>
      <c r="X346" s="73" t="n"/>
    </row>
    <row r="347">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row>
    <row r="348">
      <c r="A348" s="73" t="n"/>
      <c r="B348" s="73" t="n"/>
      <c r="C348" s="73" t="n"/>
      <c r="D348" s="73" t="n"/>
      <c r="E348" s="73" t="n"/>
      <c r="F348" s="73" t="n"/>
      <c r="G348" s="73" t="n"/>
      <c r="H348" s="73" t="n"/>
      <c r="I348" s="73" t="n"/>
      <c r="J348" s="73" t="n"/>
      <c r="K348" s="73" t="n"/>
      <c r="L348" s="73" t="n"/>
      <c r="M348" s="73" t="n"/>
      <c r="N348" s="73" t="n"/>
      <c r="O348" s="73" t="n"/>
      <c r="P348" s="73" t="n"/>
      <c r="Q348" s="73" t="n"/>
      <c r="R348" s="73" t="n"/>
      <c r="S348" s="73" t="n"/>
      <c r="T348" s="73" t="n"/>
      <c r="U348" s="73" t="n"/>
      <c r="V348" s="73" t="n"/>
      <c r="W348" s="73" t="n"/>
      <c r="X348" s="73" t="n"/>
    </row>
    <row r="349">
      <c r="A349" s="46" t="n"/>
      <c r="B349" s="46" t="n"/>
      <c r="C349" s="46"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row>
    <row r="350">
      <c r="A350" s="73" t="n"/>
      <c r="B350" s="73" t="n"/>
      <c r="C350" s="73" t="n"/>
      <c r="D350" s="73" t="n"/>
      <c r="E350" s="73" t="n"/>
      <c r="F350" s="73" t="n"/>
      <c r="G350" s="73" t="n"/>
      <c r="H350" s="73" t="n"/>
      <c r="I350" s="73" t="n"/>
      <c r="J350" s="73" t="n"/>
      <c r="K350" s="73" t="n"/>
      <c r="L350" s="73" t="n"/>
      <c r="M350" s="73" t="n"/>
      <c r="N350" s="73" t="n"/>
      <c r="O350" s="73" t="n"/>
      <c r="P350" s="73" t="n"/>
      <c r="Q350" s="73" t="n"/>
      <c r="R350" s="73" t="n"/>
      <c r="S350" s="73" t="n"/>
      <c r="T350" s="73" t="n"/>
      <c r="U350" s="73" t="n"/>
      <c r="V350" s="73" t="n"/>
      <c r="W350" s="73" t="n"/>
      <c r="X350" s="73" t="n"/>
    </row>
    <row r="351">
      <c r="A351" s="46" t="n"/>
      <c r="B351" s="46" t="n"/>
      <c r="C351" s="46"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row>
    <row r="352">
      <c r="A352" s="73" t="n"/>
      <c r="B352" s="73" t="n"/>
      <c r="C352" s="73" t="n"/>
      <c r="D352" s="73" t="n"/>
      <c r="E352" s="73" t="n"/>
      <c r="F352" s="73" t="n"/>
      <c r="G352" s="73" t="n"/>
      <c r="H352" s="73" t="n"/>
      <c r="I352" s="73" t="n"/>
      <c r="J352" s="73" t="n"/>
      <c r="K352" s="73" t="n"/>
      <c r="L352" s="73" t="n"/>
      <c r="M352" s="73" t="n"/>
      <c r="N352" s="73" t="n"/>
      <c r="O352" s="73" t="n"/>
      <c r="P352" s="73" t="n"/>
      <c r="Q352" s="73" t="n"/>
      <c r="R352" s="73" t="n"/>
      <c r="S352" s="73" t="n"/>
      <c r="T352" s="73" t="n"/>
      <c r="U352" s="73" t="n"/>
      <c r="V352" s="73" t="n"/>
      <c r="W352" s="73" t="n"/>
      <c r="X352" s="73" t="n"/>
    </row>
    <row r="353">
      <c r="A353" s="46" t="n"/>
      <c r="B353" s="46" t="n"/>
      <c r="C353" s="46"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row>
    <row r="354">
      <c r="A354" s="73" t="n"/>
      <c r="B354" s="73" t="n"/>
      <c r="C354" s="73" t="n"/>
      <c r="D354" s="73" t="n"/>
      <c r="E354" s="73" t="n"/>
      <c r="F354" s="73" t="n"/>
      <c r="G354" s="73" t="n"/>
      <c r="H354" s="73" t="n"/>
      <c r="I354" s="73" t="n"/>
      <c r="J354" s="73" t="n"/>
      <c r="K354" s="73" t="n"/>
      <c r="L354" s="73" t="n"/>
      <c r="M354" s="73" t="n"/>
      <c r="N354" s="73" t="n"/>
      <c r="O354" s="73" t="n"/>
      <c r="P354" s="73" t="n"/>
      <c r="Q354" s="73" t="n"/>
      <c r="R354" s="73" t="n"/>
      <c r="S354" s="73" t="n"/>
      <c r="T354" s="73" t="n"/>
      <c r="U354" s="73" t="n"/>
      <c r="V354" s="73" t="n"/>
      <c r="W354" s="73" t="n"/>
      <c r="X354" s="73" t="n"/>
    </row>
    <row r="355">
      <c r="A355" s="46" t="n"/>
      <c r="B355" s="46" t="n"/>
      <c r="C355" s="46"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row>
    <row r="356">
      <c r="A356" s="73" t="n"/>
      <c r="B356" s="73" t="n"/>
      <c r="C356" s="73" t="n"/>
      <c r="D356" s="73" t="n"/>
      <c r="E356" s="73" t="n"/>
      <c r="F356" s="73" t="n"/>
      <c r="G356" s="73" t="n"/>
      <c r="H356" s="73" t="n"/>
      <c r="I356" s="73" t="n"/>
      <c r="J356" s="73" t="n"/>
      <c r="K356" s="73" t="n"/>
      <c r="L356" s="73" t="n"/>
      <c r="M356" s="73" t="n"/>
      <c r="N356" s="73" t="n"/>
      <c r="O356" s="73" t="n"/>
      <c r="P356" s="73" t="n"/>
      <c r="Q356" s="73" t="n"/>
      <c r="R356" s="73" t="n"/>
      <c r="S356" s="73" t="n"/>
      <c r="T356" s="73" t="n"/>
      <c r="U356" s="73" t="n"/>
      <c r="V356" s="73" t="n"/>
      <c r="W356" s="73" t="n"/>
      <c r="X356" s="73" t="n"/>
    </row>
    <row r="357">
      <c r="A357" s="46" t="n"/>
      <c r="B357" s="46" t="n"/>
      <c r="C357" s="46"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row>
    <row r="358">
      <c r="A358" s="73" t="n"/>
      <c r="B358" s="73" t="n"/>
      <c r="C358" s="73" t="n"/>
      <c r="D358" s="73" t="n"/>
      <c r="E358" s="73" t="n"/>
      <c r="F358" s="73" t="n"/>
      <c r="G358" s="73" t="n"/>
      <c r="H358" s="73" t="n"/>
      <c r="I358" s="73" t="n"/>
      <c r="J358" s="73" t="n"/>
      <c r="K358" s="73" t="n"/>
      <c r="L358" s="73" t="n"/>
      <c r="M358" s="73" t="n"/>
      <c r="N358" s="73" t="n"/>
      <c r="O358" s="73" t="n"/>
      <c r="P358" s="73" t="n"/>
      <c r="Q358" s="73" t="n"/>
      <c r="R358" s="73" t="n"/>
      <c r="S358" s="73" t="n"/>
      <c r="T358" s="73" t="n"/>
      <c r="U358" s="73" t="n"/>
      <c r="V358" s="73" t="n"/>
      <c r="W358" s="73" t="n"/>
      <c r="X358" s="73" t="n"/>
    </row>
    <row r="359">
      <c r="A359" s="46" t="n"/>
      <c r="B359" s="46" t="n"/>
      <c r="C359" s="46"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row>
    <row r="360">
      <c r="A360" s="73" t="n"/>
      <c r="B360" s="73" t="n"/>
      <c r="C360" s="73" t="n"/>
      <c r="D360" s="73" t="n"/>
      <c r="E360" s="73" t="n"/>
      <c r="F360" s="73" t="n"/>
      <c r="G360" s="73" t="n"/>
      <c r="H360" s="73" t="n"/>
      <c r="I360" s="73" t="n"/>
      <c r="J360" s="73" t="n"/>
      <c r="K360" s="73" t="n"/>
      <c r="L360" s="73" t="n"/>
      <c r="M360" s="73" t="n"/>
      <c r="N360" s="73" t="n"/>
      <c r="O360" s="73" t="n"/>
      <c r="P360" s="73" t="n"/>
      <c r="Q360" s="73" t="n"/>
      <c r="R360" s="73" t="n"/>
      <c r="S360" s="73" t="n"/>
      <c r="T360" s="73" t="n"/>
      <c r="U360" s="73" t="n"/>
      <c r="V360" s="73" t="n"/>
      <c r="W360" s="73" t="n"/>
      <c r="X360" s="73" t="n"/>
    </row>
    <row r="361">
      <c r="A361" s="46" t="n"/>
      <c r="B361" s="46" t="n"/>
      <c r="C361" s="46"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row>
    <row r="362">
      <c r="A362" s="73" t="n"/>
      <c r="B362" s="73" t="n"/>
      <c r="C362" s="73" t="n"/>
      <c r="D362" s="73" t="n"/>
      <c r="E362" s="73" t="n"/>
      <c r="F362" s="73" t="n"/>
      <c r="G362" s="73" t="n"/>
      <c r="H362" s="73" t="n"/>
      <c r="I362" s="73" t="n"/>
      <c r="J362" s="73" t="n"/>
      <c r="K362" s="73" t="n"/>
      <c r="L362" s="73" t="n"/>
      <c r="M362" s="73" t="n"/>
      <c r="N362" s="73" t="n"/>
      <c r="O362" s="73" t="n"/>
      <c r="P362" s="73" t="n"/>
      <c r="Q362" s="73" t="n"/>
      <c r="R362" s="73" t="n"/>
      <c r="S362" s="73" t="n"/>
      <c r="T362" s="73" t="n"/>
      <c r="U362" s="73" t="n"/>
      <c r="V362" s="73" t="n"/>
      <c r="W362" s="73" t="n"/>
      <c r="X362" s="73" t="n"/>
    </row>
    <row r="363">
      <c r="A363" s="46" t="n"/>
      <c r="B363" s="46" t="n"/>
      <c r="C363" s="46"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row>
    <row r="364">
      <c r="A364" s="73" t="n"/>
      <c r="B364" s="73" t="n"/>
      <c r="C364" s="73" t="n"/>
      <c r="D364" s="73" t="n"/>
      <c r="E364" s="73" t="n"/>
      <c r="F364" s="73" t="n"/>
      <c r="G364" s="73" t="n"/>
      <c r="H364" s="73" t="n"/>
      <c r="I364" s="73" t="n"/>
      <c r="J364" s="73" t="n"/>
      <c r="K364" s="73" t="n"/>
      <c r="L364" s="73" t="n"/>
      <c r="M364" s="73" t="n"/>
      <c r="N364" s="73" t="n"/>
      <c r="O364" s="73" t="n"/>
      <c r="P364" s="73" t="n"/>
      <c r="Q364" s="73" t="n"/>
      <c r="R364" s="73" t="n"/>
      <c r="S364" s="73" t="n"/>
      <c r="T364" s="73" t="n"/>
      <c r="U364" s="73" t="n"/>
      <c r="V364" s="73" t="n"/>
      <c r="W364" s="73" t="n"/>
      <c r="X364" s="73" t="n"/>
    </row>
    <row r="365">
      <c r="A365" s="46" t="n"/>
      <c r="B365" s="46" t="n"/>
      <c r="C365" s="46"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row>
    <row r="366">
      <c r="A366" s="73" t="n"/>
      <c r="B366" s="73" t="n"/>
      <c r="C366" s="73" t="n"/>
      <c r="D366" s="73" t="n"/>
      <c r="E366" s="73" t="n"/>
      <c r="F366" s="73" t="n"/>
      <c r="G366" s="73" t="n"/>
      <c r="H366" s="73" t="n"/>
      <c r="I366" s="73" t="n"/>
      <c r="J366" s="73" t="n"/>
      <c r="K366" s="73" t="n"/>
      <c r="L366" s="73" t="n"/>
      <c r="M366" s="73" t="n"/>
      <c r="N366" s="73" t="n"/>
      <c r="O366" s="73" t="n"/>
      <c r="P366" s="73" t="n"/>
      <c r="Q366" s="73" t="n"/>
      <c r="R366" s="73" t="n"/>
      <c r="S366" s="73" t="n"/>
      <c r="T366" s="73" t="n"/>
      <c r="U366" s="73" t="n"/>
      <c r="V366" s="73" t="n"/>
      <c r="W366" s="73" t="n"/>
      <c r="X366" s="73" t="n"/>
    </row>
    <row r="367">
      <c r="A367" s="46" t="n"/>
      <c r="B367" s="46" t="n"/>
      <c r="C367" s="46"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row>
    <row r="368">
      <c r="A368" s="73" t="n"/>
      <c r="B368" s="73" t="n"/>
      <c r="C368" s="73" t="n"/>
      <c r="D368" s="73" t="n"/>
      <c r="E368" s="73" t="n"/>
      <c r="F368" s="73" t="n"/>
      <c r="G368" s="73" t="n"/>
      <c r="H368" s="73" t="n"/>
      <c r="I368" s="73" t="n"/>
      <c r="J368" s="73" t="n"/>
      <c r="K368" s="73" t="n"/>
      <c r="L368" s="73" t="n"/>
      <c r="M368" s="73" t="n"/>
      <c r="N368" s="73" t="n"/>
      <c r="O368" s="73" t="n"/>
      <c r="P368" s="73" t="n"/>
      <c r="Q368" s="73" t="n"/>
      <c r="R368" s="73" t="n"/>
      <c r="S368" s="73" t="n"/>
      <c r="T368" s="73" t="n"/>
      <c r="U368" s="73" t="n"/>
      <c r="V368" s="73" t="n"/>
      <c r="W368" s="73" t="n"/>
      <c r="X368" s="73" t="n"/>
    </row>
    <row r="369">
      <c r="A369" s="46" t="n"/>
      <c r="B369" s="46" t="n"/>
      <c r="C369" s="46"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row>
    <row r="370">
      <c r="A370" s="73" t="n"/>
      <c r="B370" s="73" t="n"/>
      <c r="C370" s="73" t="n"/>
      <c r="D370" s="73" t="n"/>
      <c r="E370" s="73" t="n"/>
      <c r="F370" s="73" t="n"/>
      <c r="G370" s="73" t="n"/>
      <c r="H370" s="73" t="n"/>
      <c r="I370" s="73" t="n"/>
      <c r="J370" s="73" t="n"/>
      <c r="K370" s="73" t="n"/>
      <c r="L370" s="73" t="n"/>
      <c r="M370" s="73" t="n"/>
      <c r="N370" s="73" t="n"/>
      <c r="O370" s="73" t="n"/>
      <c r="P370" s="73" t="n"/>
      <c r="Q370" s="73" t="n"/>
      <c r="R370" s="73" t="n"/>
      <c r="S370" s="73" t="n"/>
      <c r="T370" s="73" t="n"/>
      <c r="U370" s="73" t="n"/>
      <c r="V370" s="73" t="n"/>
      <c r="W370" s="73" t="n"/>
      <c r="X370" s="73" t="n"/>
    </row>
    <row r="371">
      <c r="A371" s="46" t="n"/>
      <c r="B371" s="46" t="n"/>
      <c r="C371" s="46"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row>
    <row r="372">
      <c r="A372" s="73" t="n"/>
      <c r="B372" s="73" t="n"/>
      <c r="C372" s="73" t="n"/>
      <c r="D372" s="73" t="n"/>
      <c r="E372" s="73" t="n"/>
      <c r="F372" s="73" t="n"/>
      <c r="G372" s="73" t="n"/>
      <c r="H372" s="73" t="n"/>
      <c r="I372" s="73" t="n"/>
      <c r="J372" s="73" t="n"/>
      <c r="K372" s="73" t="n"/>
      <c r="L372" s="73" t="n"/>
      <c r="M372" s="73" t="n"/>
      <c r="N372" s="73" t="n"/>
      <c r="O372" s="73" t="n"/>
      <c r="P372" s="73" t="n"/>
      <c r="Q372" s="73" t="n"/>
      <c r="R372" s="73" t="n"/>
      <c r="S372" s="73" t="n"/>
      <c r="T372" s="73" t="n"/>
      <c r="U372" s="73" t="n"/>
      <c r="V372" s="73" t="n"/>
      <c r="W372" s="73" t="n"/>
      <c r="X372" s="73" t="n"/>
    </row>
    <row r="373">
      <c r="A373" s="46" t="n"/>
      <c r="B373" s="46" t="n"/>
      <c r="C373" s="46"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row>
    <row r="374">
      <c r="A374" s="73" t="n"/>
      <c r="B374" s="73" t="n"/>
      <c r="C374" s="73" t="n"/>
      <c r="D374" s="73" t="n"/>
      <c r="E374" s="73" t="n"/>
      <c r="F374" s="73" t="n"/>
      <c r="G374" s="73" t="n"/>
      <c r="H374" s="73" t="n"/>
      <c r="I374" s="73" t="n"/>
      <c r="J374" s="73" t="n"/>
      <c r="K374" s="73" t="n"/>
      <c r="L374" s="73" t="n"/>
      <c r="M374" s="73" t="n"/>
      <c r="N374" s="73" t="n"/>
      <c r="O374" s="73" t="n"/>
      <c r="P374" s="73" t="n"/>
      <c r="Q374" s="73" t="n"/>
      <c r="R374" s="73" t="n"/>
      <c r="S374" s="73" t="n"/>
      <c r="T374" s="73" t="n"/>
      <c r="U374" s="73" t="n"/>
      <c r="V374" s="73" t="n"/>
      <c r="W374" s="73" t="n"/>
      <c r="X374" s="73" t="n"/>
    </row>
    <row r="375">
      <c r="A375" s="46" t="n"/>
      <c r="B375" s="46" t="n"/>
      <c r="C375" s="46"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row>
    <row r="376">
      <c r="A376" s="73" t="n"/>
      <c r="B376" s="73" t="n"/>
      <c r="C376" s="73" t="n"/>
      <c r="D376" s="73" t="n"/>
      <c r="E376" s="73" t="n"/>
      <c r="F376" s="73" t="n"/>
      <c r="G376" s="73" t="n"/>
      <c r="H376" s="73" t="n"/>
      <c r="I376" s="73" t="n"/>
      <c r="J376" s="73" t="n"/>
      <c r="K376" s="73" t="n"/>
      <c r="L376" s="73" t="n"/>
      <c r="M376" s="73" t="n"/>
      <c r="N376" s="73" t="n"/>
      <c r="O376" s="73" t="n"/>
      <c r="P376" s="73" t="n"/>
      <c r="Q376" s="73" t="n"/>
      <c r="R376" s="73" t="n"/>
      <c r="S376" s="73" t="n"/>
      <c r="T376" s="73" t="n"/>
      <c r="U376" s="73" t="n"/>
      <c r="V376" s="73" t="n"/>
      <c r="W376" s="73" t="n"/>
      <c r="X376" s="73" t="n"/>
    </row>
    <row r="377">
      <c r="A377" s="46" t="n"/>
      <c r="B377" s="46" t="n"/>
      <c r="C377" s="46"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row>
    <row r="378">
      <c r="A378" s="73" t="n"/>
      <c r="B378" s="73" t="n"/>
      <c r="C378" s="73" t="n"/>
      <c r="D378" s="73" t="n"/>
      <c r="E378" s="73" t="n"/>
      <c r="F378" s="73" t="n"/>
      <c r="G378" s="73" t="n"/>
      <c r="H378" s="73" t="n"/>
      <c r="I378" s="73" t="n"/>
      <c r="J378" s="73" t="n"/>
      <c r="K378" s="73" t="n"/>
      <c r="L378" s="73" t="n"/>
      <c r="M378" s="73" t="n"/>
      <c r="N378" s="73" t="n"/>
      <c r="O378" s="73" t="n"/>
      <c r="P378" s="73" t="n"/>
      <c r="Q378" s="73" t="n"/>
      <c r="R378" s="73" t="n"/>
      <c r="S378" s="73" t="n"/>
      <c r="T378" s="73" t="n"/>
      <c r="U378" s="73" t="n"/>
      <c r="V378" s="73" t="n"/>
      <c r="W378" s="73" t="n"/>
      <c r="X378" s="73" t="n"/>
    </row>
    <row r="379">
      <c r="A379" s="46" t="n"/>
      <c r="B379" s="46" t="n"/>
      <c r="C379" s="46"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row>
    <row r="380">
      <c r="A380" s="73" t="n"/>
      <c r="B380" s="73" t="n"/>
      <c r="C380" s="73" t="n"/>
      <c r="D380" s="73" t="n"/>
      <c r="E380" s="73" t="n"/>
      <c r="F380" s="73" t="n"/>
      <c r="G380" s="73" t="n"/>
      <c r="H380" s="73" t="n"/>
      <c r="I380" s="73" t="n"/>
      <c r="J380" s="73" t="n"/>
      <c r="K380" s="73" t="n"/>
      <c r="L380" s="73" t="n"/>
      <c r="M380" s="73" t="n"/>
      <c r="N380" s="73" t="n"/>
      <c r="O380" s="73" t="n"/>
      <c r="P380" s="73" t="n"/>
      <c r="Q380" s="73" t="n"/>
      <c r="R380" s="73" t="n"/>
      <c r="S380" s="73" t="n"/>
      <c r="T380" s="73" t="n"/>
      <c r="U380" s="73" t="n"/>
      <c r="V380" s="73" t="n"/>
      <c r="W380" s="73" t="n"/>
      <c r="X380" s="73" t="n"/>
    </row>
    <row r="381">
      <c r="A381" s="46" t="n"/>
      <c r="B381" s="46" t="n"/>
      <c r="C381" s="46"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row>
    <row r="382">
      <c r="A382" s="73" t="n"/>
      <c r="B382" s="73" t="n"/>
      <c r="C382" s="73" t="n"/>
      <c r="D382" s="73" t="n"/>
      <c r="E382" s="73" t="n"/>
      <c r="F382" s="73" t="n"/>
      <c r="G382" s="73" t="n"/>
      <c r="H382" s="73" t="n"/>
      <c r="I382" s="73" t="n"/>
      <c r="J382" s="73" t="n"/>
      <c r="K382" s="73" t="n"/>
      <c r="L382" s="73" t="n"/>
      <c r="M382" s="73" t="n"/>
      <c r="N382" s="73" t="n"/>
      <c r="O382" s="73" t="n"/>
      <c r="P382" s="73" t="n"/>
      <c r="Q382" s="73" t="n"/>
      <c r="R382" s="73" t="n"/>
      <c r="S382" s="73" t="n"/>
      <c r="T382" s="73" t="n"/>
      <c r="U382" s="73" t="n"/>
      <c r="V382" s="73" t="n"/>
      <c r="W382" s="73" t="n"/>
      <c r="X382" s="73" t="n"/>
    </row>
    <row r="383">
      <c r="A383" s="46" t="n"/>
      <c r="B383" s="46" t="n"/>
      <c r="C383" s="46"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row>
    <row r="384">
      <c r="A384" s="73" t="n"/>
      <c r="B384" s="73" t="n"/>
      <c r="C384" s="73" t="n"/>
      <c r="D384" s="73" t="n"/>
      <c r="E384" s="73" t="n"/>
      <c r="F384" s="73" t="n"/>
      <c r="G384" s="73" t="n"/>
      <c r="H384" s="73" t="n"/>
      <c r="I384" s="73" t="n"/>
      <c r="J384" s="73" t="n"/>
      <c r="K384" s="73" t="n"/>
      <c r="L384" s="73" t="n"/>
      <c r="M384" s="73" t="n"/>
      <c r="N384" s="73" t="n"/>
      <c r="O384" s="73" t="n"/>
      <c r="P384" s="73" t="n"/>
      <c r="Q384" s="73" t="n"/>
      <c r="R384" s="73" t="n"/>
      <c r="S384" s="73" t="n"/>
      <c r="T384" s="73" t="n"/>
      <c r="U384" s="73" t="n"/>
      <c r="V384" s="73" t="n"/>
      <c r="W384" s="73" t="n"/>
      <c r="X384" s="73" t="n"/>
    </row>
    <row r="385">
      <c r="A385" s="46" t="n"/>
      <c r="B385" s="46" t="n"/>
      <c r="C385" s="46"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row>
    <row r="386">
      <c r="A386" s="73" t="n"/>
      <c r="B386" s="73" t="n"/>
      <c r="C386" s="73" t="n"/>
      <c r="D386" s="73" t="n"/>
      <c r="E386" s="73" t="n"/>
      <c r="F386" s="73" t="n"/>
      <c r="G386" s="73" t="n"/>
      <c r="H386" s="73" t="n"/>
      <c r="I386" s="73" t="n"/>
      <c r="J386" s="73" t="n"/>
      <c r="K386" s="73" t="n"/>
      <c r="L386" s="73" t="n"/>
      <c r="M386" s="73" t="n"/>
      <c r="N386" s="73" t="n"/>
      <c r="O386" s="73" t="n"/>
      <c r="P386" s="73" t="n"/>
      <c r="Q386" s="73" t="n"/>
      <c r="R386" s="73" t="n"/>
      <c r="S386" s="73" t="n"/>
      <c r="T386" s="73" t="n"/>
      <c r="U386" s="73" t="n"/>
      <c r="V386" s="73" t="n"/>
      <c r="W386" s="73" t="n"/>
      <c r="X386" s="73" t="n"/>
    </row>
    <row r="387">
      <c r="A387" s="46" t="n"/>
      <c r="B387" s="46" t="n"/>
      <c r="C387" s="46"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row>
    <row r="388">
      <c r="A388" s="73" t="n"/>
      <c r="B388" s="73" t="n"/>
      <c r="C388" s="73" t="n"/>
      <c r="D388" s="73" t="n"/>
      <c r="E388" s="73" t="n"/>
      <c r="F388" s="73" t="n"/>
      <c r="G388" s="73" t="n"/>
      <c r="H388" s="73" t="n"/>
      <c r="I388" s="73" t="n"/>
      <c r="J388" s="73" t="n"/>
      <c r="K388" s="73" t="n"/>
      <c r="L388" s="73" t="n"/>
      <c r="M388" s="73" t="n"/>
      <c r="N388" s="73" t="n"/>
      <c r="O388" s="73" t="n"/>
      <c r="P388" s="73" t="n"/>
      <c r="Q388" s="73" t="n"/>
      <c r="R388" s="73" t="n"/>
      <c r="S388" s="73" t="n"/>
      <c r="T388" s="73" t="n"/>
      <c r="U388" s="73" t="n"/>
      <c r="V388" s="73" t="n"/>
      <c r="W388" s="73" t="n"/>
      <c r="X388" s="73" t="n"/>
    </row>
    <row r="389">
      <c r="A389" s="46" t="n"/>
      <c r="B389" s="46" t="n"/>
      <c r="C389" s="46"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row>
    <row r="390">
      <c r="A390" s="73" t="n"/>
      <c r="B390" s="73" t="n"/>
      <c r="C390" s="73" t="n"/>
      <c r="D390" s="73" t="n"/>
      <c r="E390" s="73" t="n"/>
      <c r="F390" s="73" t="n"/>
      <c r="G390" s="73" t="n"/>
      <c r="H390" s="73" t="n"/>
      <c r="I390" s="73" t="n"/>
      <c r="J390" s="73" t="n"/>
      <c r="K390" s="73" t="n"/>
      <c r="L390" s="73" t="n"/>
      <c r="M390" s="73" t="n"/>
      <c r="N390" s="73" t="n"/>
      <c r="O390" s="73" t="n"/>
      <c r="P390" s="73" t="n"/>
      <c r="Q390" s="73" t="n"/>
      <c r="R390" s="73" t="n"/>
      <c r="S390" s="73" t="n"/>
      <c r="T390" s="73" t="n"/>
      <c r="U390" s="73" t="n"/>
      <c r="V390" s="73" t="n"/>
      <c r="W390" s="73" t="n"/>
      <c r="X390" s="73" t="n"/>
    </row>
    <row r="391">
      <c r="A391" s="46" t="n"/>
      <c r="B391" s="46" t="n"/>
      <c r="C391" s="46"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row>
    <row r="392">
      <c r="A392" s="73" t="n"/>
      <c r="B392" s="73" t="n"/>
      <c r="C392" s="73" t="n"/>
      <c r="D392" s="73" t="n"/>
      <c r="E392" s="73" t="n"/>
      <c r="F392" s="73" t="n"/>
      <c r="G392" s="73" t="n"/>
      <c r="H392" s="73" t="n"/>
      <c r="I392" s="73" t="n"/>
      <c r="J392" s="73" t="n"/>
      <c r="K392" s="73" t="n"/>
      <c r="L392" s="73" t="n"/>
      <c r="M392" s="73" t="n"/>
      <c r="N392" s="73" t="n"/>
      <c r="O392" s="73" t="n"/>
      <c r="P392" s="73" t="n"/>
      <c r="Q392" s="73" t="n"/>
      <c r="R392" s="73" t="n"/>
      <c r="S392" s="73" t="n"/>
      <c r="T392" s="73" t="n"/>
      <c r="U392" s="73" t="n"/>
      <c r="V392" s="73" t="n"/>
      <c r="W392" s="73" t="n"/>
      <c r="X392" s="73" t="n"/>
    </row>
    <row r="393">
      <c r="A393" s="46" t="n"/>
      <c r="B393" s="46" t="n"/>
      <c r="C393" s="46"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row>
    <row r="394">
      <c r="A394" s="73" t="n"/>
      <c r="B394" s="73" t="n"/>
      <c r="C394" s="73" t="n"/>
      <c r="D394" s="73" t="n"/>
      <c r="E394" s="73" t="n"/>
      <c r="F394" s="73" t="n"/>
      <c r="G394" s="73" t="n"/>
      <c r="H394" s="73" t="n"/>
      <c r="I394" s="73" t="n"/>
      <c r="J394" s="73" t="n"/>
      <c r="K394" s="73" t="n"/>
      <c r="L394" s="73" t="n"/>
      <c r="M394" s="73" t="n"/>
      <c r="N394" s="73" t="n"/>
      <c r="O394" s="73" t="n"/>
      <c r="P394" s="73" t="n"/>
      <c r="Q394" s="73" t="n"/>
      <c r="R394" s="73" t="n"/>
      <c r="S394" s="73" t="n"/>
      <c r="T394" s="73" t="n"/>
      <c r="U394" s="73" t="n"/>
      <c r="V394" s="73" t="n"/>
      <c r="W394" s="73" t="n"/>
      <c r="X394" s="73" t="n"/>
    </row>
    <row r="395">
      <c r="A395" s="46" t="n"/>
      <c r="B395" s="46" t="n"/>
      <c r="C395" s="46"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row>
    <row r="396">
      <c r="A396" s="73" t="n"/>
      <c r="B396" s="73" t="n"/>
      <c r="C396" s="73" t="n"/>
      <c r="D396" s="73" t="n"/>
      <c r="E396" s="73" t="n"/>
      <c r="F396" s="73" t="n"/>
      <c r="G396" s="73" t="n"/>
      <c r="H396" s="73" t="n"/>
      <c r="I396" s="73" t="n"/>
      <c r="J396" s="73" t="n"/>
      <c r="K396" s="73" t="n"/>
      <c r="L396" s="73" t="n"/>
      <c r="M396" s="73" t="n"/>
      <c r="N396" s="73" t="n"/>
      <c r="O396" s="73" t="n"/>
      <c r="P396" s="73" t="n"/>
      <c r="Q396" s="73" t="n"/>
      <c r="R396" s="73" t="n"/>
      <c r="S396" s="73" t="n"/>
      <c r="T396" s="73" t="n"/>
      <c r="U396" s="73" t="n"/>
      <c r="V396" s="73" t="n"/>
      <c r="W396" s="73" t="n"/>
      <c r="X396" s="73" t="n"/>
    </row>
    <row r="397">
      <c r="A397" s="46" t="n"/>
      <c r="B397" s="46" t="n"/>
      <c r="C397" s="46"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row>
    <row r="398">
      <c r="A398" s="73" t="n"/>
      <c r="B398" s="73" t="n"/>
      <c r="C398" s="73" t="n"/>
      <c r="D398" s="73" t="n"/>
      <c r="E398" s="73" t="n"/>
      <c r="F398" s="73" t="n"/>
      <c r="G398" s="73" t="n"/>
      <c r="H398" s="73" t="n"/>
      <c r="I398" s="73" t="n"/>
      <c r="J398" s="73" t="n"/>
      <c r="K398" s="73" t="n"/>
      <c r="L398" s="73" t="n"/>
      <c r="M398" s="73" t="n"/>
      <c r="N398" s="73" t="n"/>
      <c r="O398" s="73" t="n"/>
      <c r="P398" s="73" t="n"/>
      <c r="Q398" s="73" t="n"/>
      <c r="R398" s="73" t="n"/>
      <c r="S398" s="73" t="n"/>
      <c r="T398" s="73" t="n"/>
      <c r="U398" s="73" t="n"/>
      <c r="V398" s="73" t="n"/>
      <c r="W398" s="73" t="n"/>
      <c r="X398" s="73" t="n"/>
    </row>
    <row r="399">
      <c r="A399" s="46" t="n"/>
      <c r="B399" s="46" t="n"/>
      <c r="C399" s="46"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row>
    <row r="400">
      <c r="A400" s="73" t="n"/>
      <c r="B400" s="73" t="n"/>
      <c r="C400" s="73" t="n"/>
      <c r="D400" s="73" t="n"/>
      <c r="E400" s="73" t="n"/>
      <c r="F400" s="73" t="n"/>
      <c r="G400" s="73" t="n"/>
      <c r="H400" s="73" t="n"/>
      <c r="I400" s="73" t="n"/>
      <c r="J400" s="73" t="n"/>
      <c r="K400" s="73" t="n"/>
      <c r="L400" s="73" t="n"/>
      <c r="M400" s="73" t="n"/>
      <c r="N400" s="73" t="n"/>
      <c r="O400" s="73" t="n"/>
      <c r="P400" s="73" t="n"/>
      <c r="Q400" s="73" t="n"/>
      <c r="R400" s="73" t="n"/>
      <c r="S400" s="73" t="n"/>
      <c r="T400" s="73" t="n"/>
      <c r="U400" s="73" t="n"/>
      <c r="V400" s="73" t="n"/>
      <c r="W400" s="73" t="n"/>
      <c r="X400" s="73" t="n"/>
    </row>
    <row r="401">
      <c r="A401" s="46" t="n"/>
      <c r="B401" s="46" t="n"/>
      <c r="C401" s="46"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row>
    <row r="402">
      <c r="A402" s="73" t="n"/>
      <c r="B402" s="73" t="n"/>
      <c r="C402" s="73" t="n"/>
      <c r="D402" s="73" t="n"/>
      <c r="E402" s="73" t="n"/>
      <c r="F402" s="73" t="n"/>
      <c r="G402" s="73" t="n"/>
      <c r="H402" s="73" t="n"/>
      <c r="I402" s="73" t="n"/>
      <c r="J402" s="73" t="n"/>
      <c r="K402" s="73" t="n"/>
      <c r="L402" s="73" t="n"/>
      <c r="M402" s="73" t="n"/>
      <c r="N402" s="73" t="n"/>
      <c r="O402" s="73" t="n"/>
      <c r="P402" s="73" t="n"/>
      <c r="Q402" s="73" t="n"/>
      <c r="R402" s="73" t="n"/>
      <c r="S402" s="73" t="n"/>
      <c r="T402" s="73" t="n"/>
      <c r="U402" s="73" t="n"/>
      <c r="V402" s="73" t="n"/>
      <c r="W402" s="73" t="n"/>
      <c r="X402" s="73" t="n"/>
    </row>
    <row r="403">
      <c r="A403" s="46" t="n"/>
      <c r="B403" s="46" t="n"/>
      <c r="C403" s="46"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row>
    <row r="404">
      <c r="A404" s="73" t="n"/>
      <c r="B404" s="73" t="n"/>
      <c r="C404" s="73" t="n"/>
      <c r="D404" s="73" t="n"/>
      <c r="E404" s="73" t="n"/>
      <c r="F404" s="73" t="n"/>
      <c r="G404" s="73" t="n"/>
      <c r="H404" s="73" t="n"/>
      <c r="I404" s="73" t="n"/>
      <c r="J404" s="73" t="n"/>
      <c r="K404" s="73" t="n"/>
      <c r="L404" s="73" t="n"/>
      <c r="M404" s="73" t="n"/>
      <c r="N404" s="73" t="n"/>
      <c r="O404" s="73" t="n"/>
      <c r="P404" s="73" t="n"/>
      <c r="Q404" s="73" t="n"/>
      <c r="R404" s="73" t="n"/>
      <c r="S404" s="73" t="n"/>
      <c r="T404" s="73" t="n"/>
      <c r="U404" s="73" t="n"/>
      <c r="V404" s="73" t="n"/>
      <c r="W404" s="73" t="n"/>
      <c r="X404" s="73" t="n"/>
    </row>
    <row r="405">
      <c r="A405" s="46" t="n"/>
      <c r="B405" s="46" t="n"/>
      <c r="C405" s="46"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row>
    <row r="406">
      <c r="A406" s="73" t="n"/>
      <c r="B406" s="73" t="n"/>
      <c r="C406" s="73" t="n"/>
      <c r="D406" s="73" t="n"/>
      <c r="E406" s="73" t="n"/>
      <c r="F406" s="73" t="n"/>
      <c r="G406" s="73" t="n"/>
      <c r="H406" s="73" t="n"/>
      <c r="I406" s="73" t="n"/>
      <c r="J406" s="73" t="n"/>
      <c r="K406" s="73" t="n"/>
      <c r="L406" s="73" t="n"/>
      <c r="M406" s="73" t="n"/>
      <c r="N406" s="73" t="n"/>
      <c r="O406" s="73" t="n"/>
      <c r="P406" s="73" t="n"/>
      <c r="Q406" s="73" t="n"/>
      <c r="R406" s="73" t="n"/>
      <c r="S406" s="73" t="n"/>
      <c r="T406" s="73" t="n"/>
      <c r="U406" s="73" t="n"/>
      <c r="V406" s="73" t="n"/>
      <c r="W406" s="73" t="n"/>
      <c r="X406" s="73" t="n"/>
    </row>
    <row r="407">
      <c r="A407" s="46" t="n"/>
      <c r="B407" s="46" t="n"/>
      <c r="C407" s="46"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row>
    <row r="408">
      <c r="A408" s="73" t="n"/>
      <c r="B408" s="73" t="n"/>
      <c r="C408" s="73" t="n"/>
      <c r="D408" s="73" t="n"/>
      <c r="E408" s="73" t="n"/>
      <c r="F408" s="73" t="n"/>
      <c r="G408" s="73" t="n"/>
      <c r="H408" s="73" t="n"/>
      <c r="I408" s="73" t="n"/>
      <c r="J408" s="73" t="n"/>
      <c r="K408" s="73" t="n"/>
      <c r="L408" s="73" t="n"/>
      <c r="M408" s="73" t="n"/>
      <c r="N408" s="73" t="n"/>
      <c r="O408" s="73" t="n"/>
      <c r="P408" s="73" t="n"/>
      <c r="Q408" s="73" t="n"/>
      <c r="R408" s="73" t="n"/>
      <c r="S408" s="73" t="n"/>
      <c r="T408" s="73" t="n"/>
      <c r="U408" s="73" t="n"/>
      <c r="V408" s="73" t="n"/>
      <c r="W408" s="73" t="n"/>
      <c r="X408" s="73" t="n"/>
    </row>
    <row r="409">
      <c r="A409" s="46" t="n"/>
      <c r="B409" s="46" t="n"/>
      <c r="C409" s="46"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row>
    <row r="410">
      <c r="A410" s="73" t="n"/>
      <c r="B410" s="73" t="n"/>
      <c r="C410" s="73" t="n"/>
      <c r="D410" s="73" t="n"/>
      <c r="E410" s="73" t="n"/>
      <c r="F410" s="73" t="n"/>
      <c r="G410" s="73" t="n"/>
      <c r="H410" s="73" t="n"/>
      <c r="I410" s="73" t="n"/>
      <c r="J410" s="73" t="n"/>
      <c r="K410" s="73" t="n"/>
      <c r="L410" s="73" t="n"/>
      <c r="M410" s="73" t="n"/>
      <c r="N410" s="73" t="n"/>
      <c r="O410" s="73" t="n"/>
      <c r="P410" s="73" t="n"/>
      <c r="Q410" s="73" t="n"/>
      <c r="R410" s="73" t="n"/>
      <c r="S410" s="73" t="n"/>
      <c r="T410" s="73" t="n"/>
      <c r="U410" s="73" t="n"/>
      <c r="V410" s="73" t="n"/>
      <c r="W410" s="73" t="n"/>
      <c r="X410" s="73" t="n"/>
    </row>
    <row r="411">
      <c r="A411" s="46" t="n"/>
      <c r="B411" s="46" t="n"/>
      <c r="C411" s="46"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row>
    <row r="412">
      <c r="A412" s="73" t="n"/>
      <c r="B412" s="73" t="n"/>
      <c r="C412" s="73" t="n"/>
      <c r="D412" s="73" t="n"/>
      <c r="E412" s="73" t="n"/>
      <c r="F412" s="73" t="n"/>
      <c r="G412" s="73" t="n"/>
      <c r="H412" s="73" t="n"/>
      <c r="I412" s="73" t="n"/>
      <c r="J412" s="73" t="n"/>
      <c r="K412" s="73" t="n"/>
      <c r="L412" s="73" t="n"/>
      <c r="M412" s="73" t="n"/>
      <c r="N412" s="73" t="n"/>
      <c r="O412" s="73" t="n"/>
      <c r="P412" s="73" t="n"/>
      <c r="Q412" s="73" t="n"/>
      <c r="R412" s="73" t="n"/>
      <c r="S412" s="73" t="n"/>
      <c r="T412" s="73" t="n"/>
      <c r="U412" s="73" t="n"/>
      <c r="V412" s="73" t="n"/>
      <c r="W412" s="73" t="n"/>
      <c r="X412" s="73" t="n"/>
    </row>
    <row r="413">
      <c r="A413" s="46" t="n"/>
      <c r="B413" s="46" t="n"/>
      <c r="C413" s="46"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row>
    <row r="414">
      <c r="A414" s="73" t="n"/>
      <c r="B414" s="73" t="n"/>
      <c r="C414" s="73" t="n"/>
      <c r="D414" s="73" t="n"/>
      <c r="E414" s="73" t="n"/>
      <c r="F414" s="73" t="n"/>
      <c r="G414" s="73" t="n"/>
      <c r="H414" s="73" t="n"/>
      <c r="I414" s="73" t="n"/>
      <c r="J414" s="73" t="n"/>
      <c r="K414" s="73" t="n"/>
      <c r="L414" s="73" t="n"/>
      <c r="M414" s="73" t="n"/>
      <c r="N414" s="73" t="n"/>
      <c r="O414" s="73" t="n"/>
      <c r="P414" s="73" t="n"/>
      <c r="Q414" s="73" t="n"/>
      <c r="R414" s="73" t="n"/>
      <c r="S414" s="73" t="n"/>
      <c r="T414" s="73" t="n"/>
      <c r="U414" s="73" t="n"/>
      <c r="V414" s="73" t="n"/>
      <c r="W414" s="73" t="n"/>
      <c r="X414" s="73" t="n"/>
    </row>
    <row r="415">
      <c r="A415" s="46" t="n"/>
      <c r="B415" s="46" t="n"/>
      <c r="C415" s="46"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row>
    <row r="416">
      <c r="A416" s="73" t="n"/>
      <c r="B416" s="73" t="n"/>
      <c r="C416" s="73" t="n"/>
      <c r="D416" s="73" t="n"/>
      <c r="E416" s="73" t="n"/>
      <c r="F416" s="73" t="n"/>
      <c r="G416" s="73" t="n"/>
      <c r="H416" s="73" t="n"/>
      <c r="I416" s="73" t="n"/>
      <c r="J416" s="73" t="n"/>
      <c r="K416" s="73" t="n"/>
      <c r="L416" s="73" t="n"/>
      <c r="M416" s="73" t="n"/>
      <c r="N416" s="73" t="n"/>
      <c r="O416" s="73" t="n"/>
      <c r="P416" s="73" t="n"/>
      <c r="Q416" s="73" t="n"/>
      <c r="R416" s="73" t="n"/>
      <c r="S416" s="73" t="n"/>
      <c r="T416" s="73" t="n"/>
      <c r="U416" s="73" t="n"/>
      <c r="V416" s="73" t="n"/>
      <c r="W416" s="73" t="n"/>
      <c r="X416" s="73" t="n"/>
    </row>
    <row r="417">
      <c r="A417" s="46" t="n"/>
      <c r="B417" s="46" t="n"/>
      <c r="C417" s="46"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row>
    <row r="418">
      <c r="A418" s="73" t="n"/>
      <c r="B418" s="73" t="n"/>
      <c r="C418" s="73" t="n"/>
      <c r="D418" s="73" t="n"/>
      <c r="E418" s="73" t="n"/>
      <c r="F418" s="73" t="n"/>
      <c r="G418" s="73" t="n"/>
      <c r="H418" s="73" t="n"/>
      <c r="I418" s="73" t="n"/>
      <c r="J418" s="73" t="n"/>
      <c r="K418" s="73" t="n"/>
      <c r="L418" s="73" t="n"/>
      <c r="M418" s="73" t="n"/>
      <c r="N418" s="73" t="n"/>
      <c r="O418" s="73" t="n"/>
      <c r="P418" s="73" t="n"/>
      <c r="Q418" s="73" t="n"/>
      <c r="R418" s="73" t="n"/>
      <c r="S418" s="73" t="n"/>
      <c r="T418" s="73" t="n"/>
      <c r="U418" s="73" t="n"/>
      <c r="V418" s="73" t="n"/>
      <c r="W418" s="73" t="n"/>
      <c r="X418" s="73" t="n"/>
    </row>
    <row r="419">
      <c r="A419" s="46" t="n"/>
      <c r="B419" s="46" t="n"/>
      <c r="C419" s="46"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row>
    <row r="420">
      <c r="A420" s="73" t="n"/>
      <c r="B420" s="73" t="n"/>
      <c r="C420" s="73" t="n"/>
      <c r="D420" s="73" t="n"/>
      <c r="E420" s="73" t="n"/>
      <c r="F420" s="73" t="n"/>
      <c r="G420" s="73" t="n"/>
      <c r="H420" s="73" t="n"/>
      <c r="I420" s="73" t="n"/>
      <c r="J420" s="73" t="n"/>
      <c r="K420" s="73" t="n"/>
      <c r="L420" s="73" t="n"/>
      <c r="M420" s="73" t="n"/>
      <c r="N420" s="73" t="n"/>
      <c r="O420" s="73" t="n"/>
      <c r="P420" s="73" t="n"/>
      <c r="Q420" s="73" t="n"/>
      <c r="R420" s="73" t="n"/>
      <c r="S420" s="73" t="n"/>
      <c r="T420" s="73" t="n"/>
      <c r="U420" s="73" t="n"/>
      <c r="V420" s="73" t="n"/>
      <c r="W420" s="73" t="n"/>
      <c r="X420" s="73" t="n"/>
    </row>
    <row r="421">
      <c r="A421" s="46" t="n"/>
      <c r="B421" s="46" t="n"/>
      <c r="C421" s="46"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row>
    <row r="422">
      <c r="A422" s="73" t="n"/>
      <c r="B422" s="73" t="n"/>
      <c r="C422" s="73" t="n"/>
      <c r="D422" s="73" t="n"/>
      <c r="E422" s="73" t="n"/>
      <c r="F422" s="73" t="n"/>
      <c r="G422" s="73" t="n"/>
      <c r="H422" s="73" t="n"/>
      <c r="I422" s="73" t="n"/>
      <c r="J422" s="73" t="n"/>
      <c r="K422" s="73" t="n"/>
      <c r="L422" s="73" t="n"/>
      <c r="M422" s="73" t="n"/>
      <c r="N422" s="73" t="n"/>
      <c r="O422" s="73" t="n"/>
      <c r="P422" s="73" t="n"/>
      <c r="Q422" s="73" t="n"/>
      <c r="R422" s="73" t="n"/>
      <c r="S422" s="73" t="n"/>
      <c r="T422" s="73" t="n"/>
      <c r="U422" s="73" t="n"/>
      <c r="V422" s="73" t="n"/>
      <c r="W422" s="73" t="n"/>
      <c r="X422" s="73" t="n"/>
    </row>
    <row r="423">
      <c r="A423" s="46" t="n"/>
      <c r="B423" s="46" t="n"/>
      <c r="C423" s="46"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row>
    <row r="424">
      <c r="A424" s="73" t="n"/>
      <c r="B424" s="73" t="n"/>
      <c r="C424" s="73" t="n"/>
      <c r="D424" s="73" t="n"/>
      <c r="E424" s="73" t="n"/>
      <c r="F424" s="73" t="n"/>
      <c r="G424" s="73" t="n"/>
      <c r="H424" s="73" t="n"/>
      <c r="I424" s="73" t="n"/>
      <c r="J424" s="73" t="n"/>
      <c r="K424" s="73" t="n"/>
      <c r="L424" s="73" t="n"/>
      <c r="M424" s="73" t="n"/>
      <c r="N424" s="73" t="n"/>
      <c r="O424" s="73" t="n"/>
      <c r="P424" s="73" t="n"/>
      <c r="Q424" s="73" t="n"/>
      <c r="R424" s="73" t="n"/>
      <c r="S424" s="73" t="n"/>
      <c r="T424" s="73" t="n"/>
      <c r="U424" s="73" t="n"/>
      <c r="V424" s="73" t="n"/>
      <c r="W424" s="73" t="n"/>
      <c r="X424" s="73" t="n"/>
    </row>
    <row r="425">
      <c r="A425" s="46" t="n"/>
      <c r="B425" s="46" t="n"/>
      <c r="C425" s="46"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row>
    <row r="426">
      <c r="A426" s="73" t="n"/>
      <c r="B426" s="73" t="n"/>
      <c r="C426" s="73" t="n"/>
      <c r="D426" s="73" t="n"/>
      <c r="E426" s="73" t="n"/>
      <c r="F426" s="73" t="n"/>
      <c r="G426" s="73" t="n"/>
      <c r="H426" s="73" t="n"/>
      <c r="I426" s="73" t="n"/>
      <c r="J426" s="73" t="n"/>
      <c r="K426" s="73" t="n"/>
      <c r="L426" s="73" t="n"/>
      <c r="M426" s="73" t="n"/>
      <c r="N426" s="73" t="n"/>
      <c r="O426" s="73" t="n"/>
      <c r="P426" s="73" t="n"/>
      <c r="Q426" s="73" t="n"/>
      <c r="R426" s="73" t="n"/>
      <c r="S426" s="73" t="n"/>
      <c r="T426" s="73" t="n"/>
      <c r="U426" s="73" t="n"/>
      <c r="V426" s="73" t="n"/>
      <c r="W426" s="73" t="n"/>
      <c r="X426" s="73" t="n"/>
    </row>
    <row r="427">
      <c r="A427" s="46" t="n"/>
      <c r="B427" s="46" t="n"/>
      <c r="C427" s="46"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row>
    <row r="428">
      <c r="A428" s="73" t="n"/>
      <c r="B428" s="73" t="n"/>
      <c r="C428" s="73" t="n"/>
      <c r="D428" s="73" t="n"/>
      <c r="E428" s="73" t="n"/>
      <c r="F428" s="73" t="n"/>
      <c r="G428" s="73" t="n"/>
      <c r="H428" s="73" t="n"/>
      <c r="I428" s="73" t="n"/>
      <c r="J428" s="73" t="n"/>
      <c r="K428" s="73" t="n"/>
      <c r="L428" s="73" t="n"/>
      <c r="M428" s="73" t="n"/>
      <c r="N428" s="73" t="n"/>
      <c r="O428" s="73" t="n"/>
      <c r="P428" s="73" t="n"/>
      <c r="Q428" s="73" t="n"/>
      <c r="R428" s="73" t="n"/>
      <c r="S428" s="73" t="n"/>
      <c r="T428" s="73" t="n"/>
      <c r="U428" s="73" t="n"/>
      <c r="V428" s="73" t="n"/>
      <c r="W428" s="73" t="n"/>
      <c r="X428" s="73" t="n"/>
    </row>
    <row r="429">
      <c r="A429" s="46" t="n"/>
      <c r="B429" s="46" t="n"/>
      <c r="C429" s="46"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row>
    <row r="430">
      <c r="A430" s="73" t="n"/>
      <c r="B430" s="73" t="n"/>
      <c r="C430" s="73" t="n"/>
      <c r="D430" s="73" t="n"/>
      <c r="E430" s="73" t="n"/>
      <c r="F430" s="73" t="n"/>
      <c r="G430" s="73" t="n"/>
      <c r="H430" s="73" t="n"/>
      <c r="I430" s="73" t="n"/>
      <c r="J430" s="73" t="n"/>
      <c r="K430" s="73" t="n"/>
      <c r="L430" s="73" t="n"/>
      <c r="M430" s="73" t="n"/>
      <c r="N430" s="73" t="n"/>
      <c r="O430" s="73" t="n"/>
      <c r="P430" s="73" t="n"/>
      <c r="Q430" s="73" t="n"/>
      <c r="R430" s="73" t="n"/>
      <c r="S430" s="73" t="n"/>
      <c r="T430" s="73" t="n"/>
      <c r="U430" s="73" t="n"/>
      <c r="V430" s="73" t="n"/>
      <c r="W430" s="73" t="n"/>
      <c r="X430" s="73" t="n"/>
    </row>
    <row r="431">
      <c r="A431" s="46" t="n"/>
      <c r="B431" s="46" t="n"/>
      <c r="C431" s="46"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row>
    <row r="432">
      <c r="A432" s="73" t="n"/>
      <c r="B432" s="73" t="n"/>
      <c r="C432" s="73" t="n"/>
      <c r="D432" s="73" t="n"/>
      <c r="E432" s="73" t="n"/>
      <c r="F432" s="73" t="n"/>
      <c r="G432" s="73" t="n"/>
      <c r="H432" s="73" t="n"/>
      <c r="I432" s="73" t="n"/>
      <c r="J432" s="73" t="n"/>
      <c r="K432" s="73" t="n"/>
      <c r="L432" s="73" t="n"/>
      <c r="M432" s="73" t="n"/>
      <c r="N432" s="73" t="n"/>
      <c r="O432" s="73" t="n"/>
      <c r="P432" s="73" t="n"/>
      <c r="Q432" s="73" t="n"/>
      <c r="R432" s="73" t="n"/>
      <c r="S432" s="73" t="n"/>
      <c r="T432" s="73" t="n"/>
      <c r="U432" s="73" t="n"/>
      <c r="V432" s="73" t="n"/>
      <c r="W432" s="73" t="n"/>
      <c r="X432" s="73" t="n"/>
    </row>
    <row r="433">
      <c r="A433" s="46" t="n"/>
      <c r="B433" s="46" t="n"/>
      <c r="C433" s="46"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row>
    <row r="434">
      <c r="A434" s="73" t="n"/>
      <c r="B434" s="73" t="n"/>
      <c r="C434" s="73" t="n"/>
      <c r="D434" s="73" t="n"/>
      <c r="E434" s="73" t="n"/>
      <c r="F434" s="73" t="n"/>
      <c r="G434" s="73" t="n"/>
      <c r="H434" s="73" t="n"/>
      <c r="I434" s="73" t="n"/>
      <c r="J434" s="73" t="n"/>
      <c r="K434" s="73" t="n"/>
      <c r="L434" s="73" t="n"/>
      <c r="M434" s="73" t="n"/>
      <c r="N434" s="73" t="n"/>
      <c r="O434" s="73" t="n"/>
      <c r="P434" s="73" t="n"/>
      <c r="Q434" s="73" t="n"/>
      <c r="R434" s="73" t="n"/>
      <c r="S434" s="73" t="n"/>
      <c r="T434" s="73" t="n"/>
      <c r="U434" s="73" t="n"/>
      <c r="V434" s="73" t="n"/>
      <c r="W434" s="73" t="n"/>
      <c r="X434" s="73" t="n"/>
    </row>
    <row r="435">
      <c r="A435" s="46" t="n"/>
      <c r="B435" s="46" t="n"/>
      <c r="C435" s="46"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row>
    <row r="436">
      <c r="A436" s="73" t="n"/>
      <c r="B436" s="73" t="n"/>
      <c r="C436" s="73" t="n"/>
      <c r="D436" s="73" t="n"/>
      <c r="E436" s="73" t="n"/>
      <c r="F436" s="73" t="n"/>
      <c r="G436" s="73" t="n"/>
      <c r="H436" s="73" t="n"/>
      <c r="I436" s="73" t="n"/>
      <c r="J436" s="73" t="n"/>
      <c r="K436" s="73" t="n"/>
      <c r="L436" s="73" t="n"/>
      <c r="M436" s="73" t="n"/>
      <c r="N436" s="73" t="n"/>
      <c r="O436" s="73" t="n"/>
      <c r="P436" s="73" t="n"/>
      <c r="Q436" s="73" t="n"/>
      <c r="R436" s="73" t="n"/>
      <c r="S436" s="73" t="n"/>
      <c r="T436" s="73" t="n"/>
      <c r="U436" s="73" t="n"/>
      <c r="V436" s="73" t="n"/>
      <c r="W436" s="73" t="n"/>
      <c r="X436" s="73" t="n"/>
    </row>
    <row r="437">
      <c r="A437" s="46" t="n"/>
      <c r="B437" s="46" t="n"/>
      <c r="C437" s="46"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row>
    <row r="438">
      <c r="A438" s="73" t="n"/>
      <c r="B438" s="73" t="n"/>
      <c r="C438" s="73" t="n"/>
      <c r="D438" s="73" t="n"/>
      <c r="E438" s="73" t="n"/>
      <c r="F438" s="73" t="n"/>
      <c r="G438" s="73" t="n"/>
      <c r="H438" s="73" t="n"/>
      <c r="I438" s="73" t="n"/>
      <c r="J438" s="73" t="n"/>
      <c r="K438" s="73" t="n"/>
      <c r="L438" s="73" t="n"/>
      <c r="M438" s="73" t="n"/>
      <c r="N438" s="73" t="n"/>
      <c r="O438" s="73" t="n"/>
      <c r="P438" s="73" t="n"/>
      <c r="Q438" s="73" t="n"/>
      <c r="R438" s="73" t="n"/>
      <c r="S438" s="73" t="n"/>
      <c r="T438" s="73" t="n"/>
      <c r="U438" s="73" t="n"/>
      <c r="V438" s="73" t="n"/>
      <c r="W438" s="73" t="n"/>
      <c r="X438" s="73" t="n"/>
    </row>
    <row r="439">
      <c r="A439" s="46" t="n"/>
      <c r="B439" s="46" t="n"/>
      <c r="C439" s="46"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row>
    <row r="440">
      <c r="A440" s="73" t="n"/>
      <c r="B440" s="73" t="n"/>
      <c r="C440" s="73" t="n"/>
      <c r="D440" s="73" t="n"/>
      <c r="E440" s="73" t="n"/>
      <c r="F440" s="73" t="n"/>
      <c r="G440" s="73" t="n"/>
      <c r="H440" s="73" t="n"/>
      <c r="I440" s="73" t="n"/>
      <c r="J440" s="73" t="n"/>
      <c r="K440" s="73" t="n"/>
      <c r="L440" s="73" t="n"/>
      <c r="M440" s="73" t="n"/>
      <c r="N440" s="73" t="n"/>
      <c r="O440" s="73" t="n"/>
      <c r="P440" s="73" t="n"/>
      <c r="Q440" s="73" t="n"/>
      <c r="R440" s="73" t="n"/>
      <c r="S440" s="73" t="n"/>
      <c r="T440" s="73" t="n"/>
      <c r="U440" s="73" t="n"/>
      <c r="V440" s="73" t="n"/>
      <c r="W440" s="73" t="n"/>
      <c r="X440" s="73" t="n"/>
    </row>
    <row r="441">
      <c r="A441" s="46" t="n"/>
      <c r="B441" s="46" t="n"/>
      <c r="C441" s="46"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row>
    <row r="442">
      <c r="A442" s="73" t="n"/>
      <c r="B442" s="73" t="n"/>
      <c r="C442" s="73" t="n"/>
      <c r="D442" s="73" t="n"/>
      <c r="E442" s="73" t="n"/>
      <c r="F442" s="73" t="n"/>
      <c r="G442" s="73" t="n"/>
      <c r="H442" s="73" t="n"/>
      <c r="I442" s="73" t="n"/>
      <c r="J442" s="73" t="n"/>
      <c r="K442" s="73" t="n"/>
      <c r="L442" s="73" t="n"/>
      <c r="M442" s="73" t="n"/>
      <c r="N442" s="73" t="n"/>
      <c r="O442" s="73" t="n"/>
      <c r="P442" s="73" t="n"/>
      <c r="Q442" s="73" t="n"/>
      <c r="R442" s="73" t="n"/>
      <c r="S442" s="73" t="n"/>
      <c r="T442" s="73" t="n"/>
      <c r="U442" s="73" t="n"/>
      <c r="V442" s="73" t="n"/>
      <c r="W442" s="73" t="n"/>
      <c r="X442" s="73" t="n"/>
    </row>
    <row r="443">
      <c r="A443" s="46" t="n"/>
      <c r="B443" s="46" t="n"/>
      <c r="C443" s="46"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row>
    <row r="444">
      <c r="A444" s="73" t="n"/>
      <c r="B444" s="73" t="n"/>
      <c r="C444" s="73" t="n"/>
      <c r="D444" s="73" t="n"/>
      <c r="E444" s="73" t="n"/>
      <c r="F444" s="73" t="n"/>
      <c r="G444" s="73" t="n"/>
      <c r="H444" s="73" t="n"/>
      <c r="I444" s="73" t="n"/>
      <c r="J444" s="73" t="n"/>
      <c r="K444" s="73" t="n"/>
      <c r="L444" s="73" t="n"/>
      <c r="M444" s="73" t="n"/>
      <c r="N444" s="73" t="n"/>
      <c r="O444" s="73" t="n"/>
      <c r="P444" s="73" t="n"/>
      <c r="Q444" s="73" t="n"/>
      <c r="R444" s="73" t="n"/>
      <c r="S444" s="73" t="n"/>
      <c r="T444" s="73" t="n"/>
      <c r="U444" s="73" t="n"/>
      <c r="V444" s="73" t="n"/>
      <c r="W444" s="73" t="n"/>
      <c r="X444" s="73" t="n"/>
    </row>
    <row r="445">
      <c r="A445" s="46" t="n"/>
      <c r="B445" s="46" t="n"/>
      <c r="C445" s="46"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row>
    <row r="446">
      <c r="A446" s="73" t="n"/>
      <c r="B446" s="73" t="n"/>
      <c r="C446" s="73" t="n"/>
      <c r="D446" s="73" t="n"/>
      <c r="E446" s="73" t="n"/>
      <c r="F446" s="73" t="n"/>
      <c r="G446" s="73" t="n"/>
      <c r="H446" s="73" t="n"/>
      <c r="I446" s="73" t="n"/>
      <c r="J446" s="73" t="n"/>
      <c r="K446" s="73" t="n"/>
      <c r="L446" s="73" t="n"/>
      <c r="M446" s="73" t="n"/>
      <c r="N446" s="73" t="n"/>
      <c r="O446" s="73" t="n"/>
      <c r="P446" s="73" t="n"/>
      <c r="Q446" s="73" t="n"/>
      <c r="R446" s="73" t="n"/>
      <c r="S446" s="73" t="n"/>
      <c r="T446" s="73" t="n"/>
      <c r="U446" s="73" t="n"/>
      <c r="V446" s="73" t="n"/>
      <c r="W446" s="73" t="n"/>
      <c r="X446" s="73" t="n"/>
    </row>
    <row r="447">
      <c r="A447" s="46" t="n"/>
      <c r="B447" s="46" t="n"/>
      <c r="C447" s="46"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row>
    <row r="448">
      <c r="A448" s="73" t="n"/>
      <c r="B448" s="73" t="n"/>
      <c r="C448" s="73" t="n"/>
      <c r="D448" s="73" t="n"/>
      <c r="E448" s="73" t="n"/>
      <c r="F448" s="73" t="n"/>
      <c r="G448" s="73" t="n"/>
      <c r="H448" s="73" t="n"/>
      <c r="I448" s="73" t="n"/>
      <c r="J448" s="73" t="n"/>
      <c r="K448" s="73" t="n"/>
      <c r="L448" s="73" t="n"/>
      <c r="M448" s="73" t="n"/>
      <c r="N448" s="73" t="n"/>
      <c r="O448" s="73" t="n"/>
      <c r="P448" s="73" t="n"/>
      <c r="Q448" s="73" t="n"/>
      <c r="R448" s="73" t="n"/>
      <c r="S448" s="73" t="n"/>
      <c r="T448" s="73" t="n"/>
      <c r="U448" s="73" t="n"/>
      <c r="V448" s="73" t="n"/>
      <c r="W448" s="73" t="n"/>
      <c r="X448" s="73" t="n"/>
    </row>
    <row r="449">
      <c r="A449" s="46" t="n"/>
      <c r="B449" s="46" t="n"/>
      <c r="C449" s="46"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row>
    <row r="450">
      <c r="A450" s="73" t="n"/>
      <c r="B450" s="73" t="n"/>
      <c r="C450" s="73" t="n"/>
      <c r="D450" s="73" t="n"/>
      <c r="E450" s="73" t="n"/>
      <c r="F450" s="73" t="n"/>
      <c r="G450" s="73" t="n"/>
      <c r="H450" s="73" t="n"/>
      <c r="I450" s="73" t="n"/>
      <c r="J450" s="73" t="n"/>
      <c r="K450" s="73" t="n"/>
      <c r="L450" s="73" t="n"/>
      <c r="M450" s="73" t="n"/>
      <c r="N450" s="73" t="n"/>
      <c r="O450" s="73" t="n"/>
      <c r="P450" s="73" t="n"/>
      <c r="Q450" s="73" t="n"/>
      <c r="R450" s="73" t="n"/>
      <c r="S450" s="73" t="n"/>
      <c r="T450" s="73" t="n"/>
      <c r="U450" s="73" t="n"/>
      <c r="V450" s="73" t="n"/>
      <c r="W450" s="73" t="n"/>
      <c r="X450" s="73" t="n"/>
    </row>
    <row r="451">
      <c r="A451" s="46" t="n"/>
      <c r="B451" s="46" t="n"/>
      <c r="C451" s="46"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row>
    <row r="452">
      <c r="A452" s="73" t="n"/>
      <c r="B452" s="73" t="n"/>
      <c r="C452" s="73" t="n"/>
      <c r="D452" s="73" t="n"/>
      <c r="E452" s="73" t="n"/>
      <c r="F452" s="73" t="n"/>
      <c r="G452" s="73" t="n"/>
      <c r="H452" s="73" t="n"/>
      <c r="I452" s="73" t="n"/>
      <c r="J452" s="73" t="n"/>
      <c r="K452" s="73" t="n"/>
      <c r="L452" s="73" t="n"/>
      <c r="M452" s="73" t="n"/>
      <c r="N452" s="73" t="n"/>
      <c r="O452" s="73" t="n"/>
      <c r="P452" s="73" t="n"/>
      <c r="Q452" s="73" t="n"/>
      <c r="R452" s="73" t="n"/>
      <c r="S452" s="73" t="n"/>
      <c r="T452" s="73" t="n"/>
      <c r="U452" s="73" t="n"/>
      <c r="V452" s="73" t="n"/>
      <c r="W452" s="73" t="n"/>
      <c r="X452" s="73" t="n"/>
    </row>
    <row r="453">
      <c r="A453" s="46" t="n"/>
      <c r="B453" s="46" t="n"/>
      <c r="C453" s="46"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row>
    <row r="454">
      <c r="A454" s="73" t="n"/>
      <c r="B454" s="73" t="n"/>
      <c r="C454" s="73" t="n"/>
      <c r="D454" s="73" t="n"/>
      <c r="E454" s="73" t="n"/>
      <c r="F454" s="73" t="n"/>
      <c r="G454" s="73" t="n"/>
      <c r="H454" s="73" t="n"/>
      <c r="I454" s="73" t="n"/>
      <c r="J454" s="73" t="n"/>
      <c r="K454" s="73" t="n"/>
      <c r="L454" s="73" t="n"/>
      <c r="M454" s="73" t="n"/>
      <c r="N454" s="73" t="n"/>
      <c r="O454" s="73" t="n"/>
      <c r="P454" s="73" t="n"/>
      <c r="Q454" s="73" t="n"/>
      <c r="R454" s="73" t="n"/>
      <c r="S454" s="73" t="n"/>
      <c r="T454" s="73" t="n"/>
      <c r="U454" s="73" t="n"/>
      <c r="V454" s="73" t="n"/>
      <c r="W454" s="73" t="n"/>
      <c r="X454" s="73" t="n"/>
    </row>
    <row r="455">
      <c r="A455" s="46" t="n"/>
      <c r="B455" s="46" t="n"/>
      <c r="C455" s="46"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row>
    <row r="456">
      <c r="A456" s="73" t="n"/>
      <c r="B456" s="73" t="n"/>
      <c r="C456" s="73" t="n"/>
      <c r="D456" s="73" t="n"/>
      <c r="E456" s="73" t="n"/>
      <c r="F456" s="73" t="n"/>
      <c r="G456" s="73" t="n"/>
      <c r="H456" s="73" t="n"/>
      <c r="I456" s="73" t="n"/>
      <c r="J456" s="73" t="n"/>
      <c r="K456" s="73" t="n"/>
      <c r="L456" s="73" t="n"/>
      <c r="M456" s="73" t="n"/>
      <c r="N456" s="73" t="n"/>
      <c r="O456" s="73" t="n"/>
      <c r="P456" s="73" t="n"/>
      <c r="Q456" s="73" t="n"/>
      <c r="R456" s="73" t="n"/>
      <c r="S456" s="73" t="n"/>
      <c r="T456" s="73" t="n"/>
      <c r="U456" s="73" t="n"/>
      <c r="V456" s="73" t="n"/>
      <c r="W456" s="73" t="n"/>
      <c r="X456" s="73" t="n"/>
    </row>
    <row r="457">
      <c r="A457" s="46" t="n"/>
      <c r="B457" s="46" t="n"/>
      <c r="C457" s="46"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row>
    <row r="458">
      <c r="A458" s="73" t="n"/>
      <c r="B458" s="73" t="n"/>
      <c r="C458" s="73" t="n"/>
      <c r="D458" s="73" t="n"/>
      <c r="E458" s="73" t="n"/>
      <c r="F458" s="73" t="n"/>
      <c r="G458" s="73" t="n"/>
      <c r="H458" s="73" t="n"/>
      <c r="I458" s="73" t="n"/>
      <c r="J458" s="73" t="n"/>
      <c r="K458" s="73" t="n"/>
      <c r="L458" s="73" t="n"/>
      <c r="M458" s="73" t="n"/>
      <c r="N458" s="73" t="n"/>
      <c r="O458" s="73" t="n"/>
      <c r="P458" s="73" t="n"/>
      <c r="Q458" s="73" t="n"/>
      <c r="R458" s="73" t="n"/>
      <c r="S458" s="73" t="n"/>
      <c r="T458" s="73" t="n"/>
      <c r="U458" s="73" t="n"/>
      <c r="V458" s="73" t="n"/>
      <c r="W458" s="73" t="n"/>
      <c r="X458" s="73" t="n"/>
    </row>
    <row r="459">
      <c r="A459" s="46" t="n"/>
      <c r="B459" s="46" t="n"/>
      <c r="C459" s="46"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row>
    <row r="460">
      <c r="A460" s="73" t="n"/>
      <c r="B460" s="73" t="n"/>
      <c r="C460" s="73" t="n"/>
      <c r="D460" s="73" t="n"/>
      <c r="E460" s="73" t="n"/>
      <c r="F460" s="73" t="n"/>
      <c r="G460" s="73" t="n"/>
      <c r="H460" s="73" t="n"/>
      <c r="I460" s="73" t="n"/>
      <c r="J460" s="73" t="n"/>
      <c r="K460" s="73" t="n"/>
      <c r="L460" s="73" t="n"/>
      <c r="M460" s="73" t="n"/>
      <c r="N460" s="73" t="n"/>
      <c r="O460" s="73" t="n"/>
      <c r="P460" s="73" t="n"/>
      <c r="Q460" s="73" t="n"/>
      <c r="R460" s="73" t="n"/>
      <c r="S460" s="73" t="n"/>
      <c r="T460" s="73" t="n"/>
      <c r="U460" s="73" t="n"/>
      <c r="V460" s="73" t="n"/>
      <c r="W460" s="73" t="n"/>
      <c r="X460" s="73" t="n"/>
    </row>
    <row r="461">
      <c r="A461" s="46" t="n"/>
      <c r="B461" s="46" t="n"/>
      <c r="C461" s="46"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row>
    <row r="462">
      <c r="A462" s="73" t="n"/>
      <c r="B462" s="73" t="n"/>
      <c r="C462" s="73" t="n"/>
      <c r="D462" s="73" t="n"/>
      <c r="E462" s="73" t="n"/>
      <c r="F462" s="73" t="n"/>
      <c r="G462" s="73" t="n"/>
      <c r="H462" s="73" t="n"/>
      <c r="I462" s="73" t="n"/>
      <c r="J462" s="73" t="n"/>
      <c r="K462" s="73" t="n"/>
      <c r="L462" s="73" t="n"/>
      <c r="M462" s="73" t="n"/>
      <c r="N462" s="73" t="n"/>
      <c r="O462" s="73" t="n"/>
      <c r="P462" s="73" t="n"/>
      <c r="Q462" s="73" t="n"/>
      <c r="R462" s="73" t="n"/>
      <c r="S462" s="73" t="n"/>
      <c r="T462" s="73" t="n"/>
      <c r="U462" s="73" t="n"/>
      <c r="V462" s="73" t="n"/>
      <c r="W462" s="73" t="n"/>
      <c r="X462" s="73" t="n"/>
    </row>
    <row r="463">
      <c r="A463" s="46" t="n"/>
      <c r="B463" s="46" t="n"/>
      <c r="C463" s="46"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row>
    <row r="464">
      <c r="A464" s="73" t="n"/>
      <c r="B464" s="73" t="n"/>
      <c r="C464" s="73" t="n"/>
      <c r="D464" s="73" t="n"/>
      <c r="E464" s="73" t="n"/>
      <c r="F464" s="73" t="n"/>
      <c r="G464" s="73" t="n"/>
      <c r="H464" s="73" t="n"/>
      <c r="I464" s="73" t="n"/>
      <c r="J464" s="73" t="n"/>
      <c r="K464" s="73" t="n"/>
      <c r="L464" s="73" t="n"/>
      <c r="M464" s="73" t="n"/>
      <c r="N464" s="73" t="n"/>
      <c r="O464" s="73" t="n"/>
      <c r="P464" s="73" t="n"/>
      <c r="Q464" s="73" t="n"/>
      <c r="R464" s="73" t="n"/>
      <c r="S464" s="73" t="n"/>
      <c r="T464" s="73" t="n"/>
      <c r="U464" s="73" t="n"/>
      <c r="V464" s="73" t="n"/>
      <c r="W464" s="73" t="n"/>
      <c r="X464" s="73" t="n"/>
    </row>
    <row r="465">
      <c r="A465" s="46" t="n"/>
      <c r="B465" s="46" t="n"/>
      <c r="C465" s="46"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row>
    <row r="466">
      <c r="A466" s="73" t="n"/>
      <c r="B466" s="73" t="n"/>
      <c r="C466" s="73" t="n"/>
      <c r="D466" s="73" t="n"/>
      <c r="E466" s="73" t="n"/>
      <c r="F466" s="73" t="n"/>
      <c r="G466" s="73" t="n"/>
      <c r="H466" s="73" t="n"/>
      <c r="I466" s="73" t="n"/>
      <c r="J466" s="73" t="n"/>
      <c r="K466" s="73" t="n"/>
      <c r="L466" s="73" t="n"/>
      <c r="M466" s="73" t="n"/>
      <c r="N466" s="73" t="n"/>
      <c r="O466" s="73" t="n"/>
      <c r="P466" s="73" t="n"/>
      <c r="Q466" s="73" t="n"/>
      <c r="R466" s="73" t="n"/>
      <c r="S466" s="73" t="n"/>
      <c r="T466" s="73" t="n"/>
      <c r="U466" s="73" t="n"/>
      <c r="V466" s="73" t="n"/>
      <c r="W466" s="73" t="n"/>
      <c r="X466" s="73" t="n"/>
    </row>
    <row r="467">
      <c r="A467" s="46" t="n"/>
      <c r="B467" s="46" t="n"/>
      <c r="C467" s="46"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row>
    <row r="468">
      <c r="A468" s="73" t="n"/>
      <c r="B468" s="73" t="n"/>
      <c r="C468" s="73" t="n"/>
      <c r="D468" s="73" t="n"/>
      <c r="E468" s="73" t="n"/>
      <c r="F468" s="73" t="n"/>
      <c r="G468" s="73" t="n"/>
      <c r="H468" s="73" t="n"/>
      <c r="I468" s="73" t="n"/>
      <c r="J468" s="73" t="n"/>
      <c r="K468" s="73" t="n"/>
      <c r="L468" s="73" t="n"/>
      <c r="M468" s="73" t="n"/>
      <c r="N468" s="73" t="n"/>
      <c r="O468" s="73" t="n"/>
      <c r="P468" s="73" t="n"/>
      <c r="Q468" s="73" t="n"/>
      <c r="R468" s="73" t="n"/>
      <c r="S468" s="73" t="n"/>
      <c r="T468" s="73" t="n"/>
      <c r="U468" s="73" t="n"/>
      <c r="V468" s="73" t="n"/>
      <c r="W468" s="73" t="n"/>
      <c r="X468" s="73" t="n"/>
    </row>
    <row r="469">
      <c r="A469" s="46" t="n"/>
      <c r="B469" s="46" t="n"/>
      <c r="C469" s="46"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row>
    <row r="470">
      <c r="A470" s="73" t="n"/>
      <c r="B470" s="73" t="n"/>
      <c r="C470" s="73" t="n"/>
      <c r="D470" s="73" t="n"/>
      <c r="E470" s="73" t="n"/>
      <c r="F470" s="73" t="n"/>
      <c r="G470" s="73" t="n"/>
      <c r="H470" s="73" t="n"/>
      <c r="I470" s="73" t="n"/>
      <c r="J470" s="73" t="n"/>
      <c r="K470" s="73" t="n"/>
      <c r="L470" s="73" t="n"/>
      <c r="M470" s="73" t="n"/>
      <c r="N470" s="73" t="n"/>
      <c r="O470" s="73" t="n"/>
      <c r="P470" s="73" t="n"/>
      <c r="Q470" s="73" t="n"/>
      <c r="R470" s="73" t="n"/>
      <c r="S470" s="73" t="n"/>
      <c r="T470" s="73" t="n"/>
      <c r="U470" s="73" t="n"/>
      <c r="V470" s="73" t="n"/>
      <c r="W470" s="73" t="n"/>
      <c r="X470" s="73" t="n"/>
    </row>
    <row r="471">
      <c r="A471" s="46" t="n"/>
      <c r="B471" s="46" t="n"/>
      <c r="C471" s="46"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row>
    <row r="472">
      <c r="A472" s="73" t="n"/>
      <c r="B472" s="73" t="n"/>
      <c r="C472" s="73" t="n"/>
      <c r="D472" s="73" t="n"/>
      <c r="E472" s="73" t="n"/>
      <c r="F472" s="73" t="n"/>
      <c r="G472" s="73" t="n"/>
      <c r="H472" s="73" t="n"/>
      <c r="I472" s="73" t="n"/>
      <c r="J472" s="73" t="n"/>
      <c r="K472" s="73" t="n"/>
      <c r="L472" s="73" t="n"/>
      <c r="M472" s="73" t="n"/>
      <c r="N472" s="73" t="n"/>
      <c r="O472" s="73" t="n"/>
      <c r="P472" s="73" t="n"/>
      <c r="Q472" s="73" t="n"/>
      <c r="R472" s="73" t="n"/>
      <c r="S472" s="73" t="n"/>
      <c r="T472" s="73" t="n"/>
      <c r="U472" s="73" t="n"/>
      <c r="V472" s="73" t="n"/>
      <c r="W472" s="73" t="n"/>
      <c r="X472" s="73" t="n"/>
    </row>
    <row r="473">
      <c r="A473" s="46" t="n"/>
      <c r="B473" s="46" t="n"/>
      <c r="C473" s="46"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row>
    <row r="474">
      <c r="A474" s="73" t="n"/>
      <c r="B474" s="73" t="n"/>
      <c r="C474" s="73" t="n"/>
      <c r="D474" s="73" t="n"/>
      <c r="E474" s="73" t="n"/>
      <c r="F474" s="73" t="n"/>
      <c r="G474" s="73" t="n"/>
      <c r="H474" s="73" t="n"/>
      <c r="I474" s="73" t="n"/>
      <c r="J474" s="73" t="n"/>
      <c r="K474" s="73" t="n"/>
      <c r="L474" s="73" t="n"/>
      <c r="M474" s="73" t="n"/>
      <c r="N474" s="73" t="n"/>
      <c r="O474" s="73" t="n"/>
      <c r="P474" s="73" t="n"/>
      <c r="Q474" s="73" t="n"/>
      <c r="R474" s="73" t="n"/>
      <c r="S474" s="73" t="n"/>
      <c r="T474" s="73" t="n"/>
      <c r="U474" s="73" t="n"/>
      <c r="V474" s="73" t="n"/>
      <c r="W474" s="73" t="n"/>
      <c r="X474" s="73" t="n"/>
    </row>
    <row r="475">
      <c r="A475" s="46" t="n"/>
      <c r="B475" s="46" t="n"/>
      <c r="C475" s="46"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row>
    <row r="476">
      <c r="A476" s="73" t="n"/>
      <c r="B476" s="73" t="n"/>
      <c r="C476" s="73" t="n"/>
      <c r="D476" s="73" t="n"/>
      <c r="E476" s="73" t="n"/>
      <c r="F476" s="73" t="n"/>
      <c r="G476" s="73" t="n"/>
      <c r="H476" s="73" t="n"/>
      <c r="I476" s="73" t="n"/>
      <c r="J476" s="73" t="n"/>
      <c r="K476" s="73" t="n"/>
      <c r="L476" s="73" t="n"/>
      <c r="M476" s="73" t="n"/>
      <c r="N476" s="73" t="n"/>
      <c r="O476" s="73" t="n"/>
      <c r="P476" s="73" t="n"/>
      <c r="Q476" s="73" t="n"/>
      <c r="R476" s="73" t="n"/>
      <c r="S476" s="73" t="n"/>
      <c r="T476" s="73" t="n"/>
      <c r="U476" s="73" t="n"/>
      <c r="V476" s="73" t="n"/>
      <c r="W476" s="73" t="n"/>
      <c r="X476" s="73" t="n"/>
    </row>
    <row r="477">
      <c r="A477" s="46" t="n"/>
      <c r="B477" s="46" t="n"/>
      <c r="C477" s="46"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row>
    <row r="478">
      <c r="A478" s="73" t="n"/>
      <c r="B478" s="73" t="n"/>
      <c r="C478" s="73" t="n"/>
      <c r="D478" s="73" t="n"/>
      <c r="E478" s="73" t="n"/>
      <c r="F478" s="73" t="n"/>
      <c r="G478" s="73" t="n"/>
      <c r="H478" s="73" t="n"/>
      <c r="I478" s="73" t="n"/>
      <c r="J478" s="73" t="n"/>
      <c r="K478" s="73" t="n"/>
      <c r="L478" s="73" t="n"/>
      <c r="M478" s="73" t="n"/>
      <c r="N478" s="73" t="n"/>
      <c r="O478" s="73" t="n"/>
      <c r="P478" s="73" t="n"/>
      <c r="Q478" s="73" t="n"/>
      <c r="R478" s="73" t="n"/>
      <c r="S478" s="73" t="n"/>
      <c r="T478" s="73" t="n"/>
      <c r="U478" s="73" t="n"/>
      <c r="V478" s="73" t="n"/>
      <c r="W478" s="73" t="n"/>
      <c r="X478" s="73" t="n"/>
    </row>
    <row r="479">
      <c r="A479" s="46" t="n"/>
      <c r="B479" s="46" t="n"/>
      <c r="C479" s="46"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row>
    <row r="480">
      <c r="A480" s="73" t="n"/>
      <c r="B480" s="73" t="n"/>
      <c r="C480" s="73" t="n"/>
      <c r="D480" s="73" t="n"/>
      <c r="E480" s="73" t="n"/>
      <c r="F480" s="73" t="n"/>
      <c r="G480" s="73" t="n"/>
      <c r="H480" s="73" t="n"/>
      <c r="I480" s="73" t="n"/>
      <c r="J480" s="73" t="n"/>
      <c r="K480" s="73" t="n"/>
      <c r="L480" s="73" t="n"/>
      <c r="M480" s="73" t="n"/>
      <c r="N480" s="73" t="n"/>
      <c r="O480" s="73" t="n"/>
      <c r="P480" s="73" t="n"/>
      <c r="Q480" s="73" t="n"/>
      <c r="R480" s="73" t="n"/>
      <c r="S480" s="73" t="n"/>
      <c r="T480" s="73" t="n"/>
      <c r="U480" s="73" t="n"/>
      <c r="V480" s="73" t="n"/>
      <c r="W480" s="73" t="n"/>
      <c r="X480" s="73" t="n"/>
    </row>
    <row r="481">
      <c r="A481" s="46" t="n"/>
      <c r="B481" s="46" t="n"/>
      <c r="C481" s="46"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row>
    <row r="482">
      <c r="A482" s="73" t="n"/>
      <c r="B482" s="73" t="n"/>
      <c r="C482" s="73" t="n"/>
      <c r="D482" s="73" t="n"/>
      <c r="E482" s="73" t="n"/>
      <c r="F482" s="73" t="n"/>
      <c r="G482" s="73" t="n"/>
      <c r="H482" s="73" t="n"/>
      <c r="I482" s="73" t="n"/>
      <c r="J482" s="73" t="n"/>
      <c r="K482" s="73" t="n"/>
      <c r="L482" s="73" t="n"/>
      <c r="M482" s="73" t="n"/>
      <c r="N482" s="73" t="n"/>
      <c r="O482" s="73" t="n"/>
      <c r="P482" s="73" t="n"/>
      <c r="Q482" s="73" t="n"/>
      <c r="R482" s="73" t="n"/>
      <c r="S482" s="73" t="n"/>
      <c r="T482" s="73" t="n"/>
      <c r="U482" s="73" t="n"/>
      <c r="V482" s="73" t="n"/>
      <c r="W482" s="73" t="n"/>
      <c r="X482" s="73" t="n"/>
    </row>
    <row r="483">
      <c r="A483" s="46" t="n"/>
      <c r="B483" s="46" t="n"/>
      <c r="C483" s="46"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row>
    <row r="484">
      <c r="A484" s="73" t="n"/>
      <c r="B484" s="73" t="n"/>
      <c r="C484" s="73" t="n"/>
      <c r="D484" s="73" t="n"/>
      <c r="E484" s="73" t="n"/>
      <c r="F484" s="73" t="n"/>
      <c r="G484" s="73" t="n"/>
      <c r="H484" s="73" t="n"/>
      <c r="I484" s="73" t="n"/>
      <c r="J484" s="73" t="n"/>
      <c r="K484" s="73" t="n"/>
      <c r="L484" s="73" t="n"/>
      <c r="M484" s="73" t="n"/>
      <c r="N484" s="73" t="n"/>
      <c r="O484" s="73" t="n"/>
      <c r="P484" s="73" t="n"/>
      <c r="Q484" s="73" t="n"/>
      <c r="R484" s="73" t="n"/>
      <c r="S484" s="73" t="n"/>
      <c r="T484" s="73" t="n"/>
      <c r="U484" s="73" t="n"/>
      <c r="V484" s="73" t="n"/>
      <c r="W484" s="73" t="n"/>
      <c r="X484" s="73" t="n"/>
    </row>
    <row r="485">
      <c r="A485" s="46" t="n"/>
      <c r="B485" s="46" t="n"/>
      <c r="C485" s="46"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row>
    <row r="486">
      <c r="A486" s="73" t="n"/>
      <c r="B486" s="73" t="n"/>
      <c r="C486" s="73" t="n"/>
      <c r="D486" s="73" t="n"/>
      <c r="E486" s="73" t="n"/>
      <c r="F486" s="73" t="n"/>
      <c r="G486" s="73" t="n"/>
      <c r="H486" s="73" t="n"/>
      <c r="I486" s="73" t="n"/>
      <c r="J486" s="73" t="n"/>
      <c r="K486" s="73" t="n"/>
      <c r="L486" s="73" t="n"/>
      <c r="M486" s="73" t="n"/>
      <c r="N486" s="73" t="n"/>
      <c r="O486" s="73" t="n"/>
      <c r="P486" s="73" t="n"/>
      <c r="Q486" s="73" t="n"/>
      <c r="R486" s="73" t="n"/>
      <c r="S486" s="73" t="n"/>
      <c r="T486" s="73" t="n"/>
      <c r="U486" s="73" t="n"/>
      <c r="V486" s="73" t="n"/>
      <c r="W486" s="73" t="n"/>
      <c r="X486" s="73" t="n"/>
    </row>
    <row r="487">
      <c r="A487" s="46" t="n"/>
      <c r="B487" s="46" t="n"/>
      <c r="C487" s="46"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row>
    <row r="488">
      <c r="A488" s="73" t="n"/>
      <c r="B488" s="73" t="n"/>
      <c r="C488" s="73" t="n"/>
      <c r="D488" s="73" t="n"/>
      <c r="E488" s="73" t="n"/>
      <c r="F488" s="73" t="n"/>
      <c r="G488" s="73" t="n"/>
      <c r="H488" s="73" t="n"/>
      <c r="I488" s="73" t="n"/>
      <c r="J488" s="73" t="n"/>
      <c r="K488" s="73" t="n"/>
      <c r="L488" s="73" t="n"/>
      <c r="M488" s="73" t="n"/>
      <c r="N488" s="73" t="n"/>
      <c r="O488" s="73" t="n"/>
      <c r="P488" s="73" t="n"/>
      <c r="Q488" s="73" t="n"/>
      <c r="R488" s="73" t="n"/>
      <c r="S488" s="73" t="n"/>
      <c r="T488" s="73" t="n"/>
      <c r="U488" s="73" t="n"/>
      <c r="V488" s="73" t="n"/>
      <c r="W488" s="73" t="n"/>
      <c r="X488" s="73" t="n"/>
    </row>
    <row r="489">
      <c r="A489" s="46" t="n"/>
      <c r="B489" s="46" t="n"/>
      <c r="C489" s="46"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row>
    <row r="490">
      <c r="A490" s="73" t="n"/>
      <c r="B490" s="73" t="n"/>
      <c r="C490" s="73" t="n"/>
      <c r="D490" s="73" t="n"/>
      <c r="E490" s="73" t="n"/>
      <c r="F490" s="73" t="n"/>
      <c r="G490" s="73" t="n"/>
      <c r="H490" s="73" t="n"/>
      <c r="I490" s="73" t="n"/>
      <c r="J490" s="73" t="n"/>
      <c r="K490" s="73" t="n"/>
      <c r="L490" s="73" t="n"/>
      <c r="M490" s="73" t="n"/>
      <c r="N490" s="73" t="n"/>
      <c r="O490" s="73" t="n"/>
      <c r="P490" s="73" t="n"/>
      <c r="Q490" s="73" t="n"/>
      <c r="R490" s="73" t="n"/>
      <c r="S490" s="73" t="n"/>
      <c r="T490" s="73" t="n"/>
      <c r="U490" s="73" t="n"/>
      <c r="V490" s="73" t="n"/>
      <c r="W490" s="73" t="n"/>
      <c r="X490" s="73" t="n"/>
    </row>
    <row r="491">
      <c r="A491" s="46" t="n"/>
      <c r="B491" s="46" t="n"/>
      <c r="C491" s="46"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row>
    <row r="492">
      <c r="A492" s="73" t="n"/>
      <c r="B492" s="73" t="n"/>
      <c r="C492" s="73" t="n"/>
      <c r="D492" s="73" t="n"/>
      <c r="E492" s="73" t="n"/>
      <c r="F492" s="73" t="n"/>
      <c r="G492" s="73" t="n"/>
      <c r="H492" s="73" t="n"/>
      <c r="I492" s="73" t="n"/>
      <c r="J492" s="73" t="n"/>
      <c r="K492" s="73" t="n"/>
      <c r="L492" s="73" t="n"/>
      <c r="M492" s="73" t="n"/>
      <c r="N492" s="73" t="n"/>
      <c r="O492" s="73" t="n"/>
      <c r="P492" s="73" t="n"/>
      <c r="Q492" s="73" t="n"/>
      <c r="R492" s="73" t="n"/>
      <c r="S492" s="73" t="n"/>
      <c r="T492" s="73" t="n"/>
      <c r="U492" s="73" t="n"/>
      <c r="V492" s="73" t="n"/>
      <c r="W492" s="73" t="n"/>
      <c r="X492" s="73" t="n"/>
    </row>
    <row r="493">
      <c r="A493" s="46" t="n"/>
      <c r="B493" s="46" t="n"/>
      <c r="C493" s="46"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row>
    <row r="494">
      <c r="A494" s="73" t="n"/>
      <c r="B494" s="73" t="n"/>
      <c r="C494" s="73" t="n"/>
      <c r="D494" s="73" t="n"/>
      <c r="E494" s="73" t="n"/>
      <c r="F494" s="73" t="n"/>
      <c r="G494" s="73" t="n"/>
      <c r="H494" s="73" t="n"/>
      <c r="I494" s="73" t="n"/>
      <c r="J494" s="73" t="n"/>
      <c r="K494" s="73" t="n"/>
      <c r="L494" s="73" t="n"/>
      <c r="M494" s="73" t="n"/>
      <c r="N494" s="73" t="n"/>
      <c r="O494" s="73" t="n"/>
      <c r="P494" s="73" t="n"/>
      <c r="Q494" s="73" t="n"/>
      <c r="R494" s="73" t="n"/>
      <c r="S494" s="73" t="n"/>
      <c r="T494" s="73" t="n"/>
      <c r="U494" s="73" t="n"/>
      <c r="V494" s="73" t="n"/>
      <c r="W494" s="73" t="n"/>
      <c r="X494" s="73" t="n"/>
    </row>
    <row r="495">
      <c r="A495" s="46" t="n"/>
      <c r="B495" s="46" t="n"/>
      <c r="C495" s="46"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row>
    <row r="496">
      <c r="A496" s="73" t="n"/>
      <c r="B496" s="73" t="n"/>
      <c r="C496" s="73" t="n"/>
      <c r="D496" s="73" t="n"/>
      <c r="E496" s="73" t="n"/>
      <c r="F496" s="73" t="n"/>
      <c r="G496" s="73" t="n"/>
      <c r="H496" s="73" t="n"/>
      <c r="I496" s="73" t="n"/>
      <c r="J496" s="73" t="n"/>
      <c r="K496" s="73" t="n"/>
      <c r="L496" s="73" t="n"/>
      <c r="M496" s="73" t="n"/>
      <c r="N496" s="73" t="n"/>
      <c r="O496" s="73" t="n"/>
      <c r="P496" s="73" t="n"/>
      <c r="Q496" s="73" t="n"/>
      <c r="R496" s="73" t="n"/>
      <c r="S496" s="73" t="n"/>
      <c r="T496" s="73" t="n"/>
      <c r="U496" s="73" t="n"/>
      <c r="V496" s="73" t="n"/>
      <c r="W496" s="73" t="n"/>
      <c r="X496" s="73" t="n"/>
    </row>
    <row r="497">
      <c r="A497" s="46" t="n"/>
      <c r="B497" s="46" t="n"/>
      <c r="C497" s="46"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row>
    <row r="498">
      <c r="A498" s="73" t="n"/>
      <c r="B498" s="73" t="n"/>
      <c r="C498" s="73" t="n"/>
      <c r="D498" s="73" t="n"/>
      <c r="E498" s="73" t="n"/>
      <c r="F498" s="73" t="n"/>
      <c r="G498" s="73" t="n"/>
      <c r="H498" s="73" t="n"/>
      <c r="I498" s="73" t="n"/>
      <c r="J498" s="73" t="n"/>
      <c r="K498" s="73" t="n"/>
      <c r="L498" s="73" t="n"/>
      <c r="M498" s="73" t="n"/>
      <c r="N498" s="73" t="n"/>
      <c r="O498" s="73" t="n"/>
      <c r="P498" s="73" t="n"/>
      <c r="Q498" s="73" t="n"/>
      <c r="R498" s="73" t="n"/>
      <c r="S498" s="73" t="n"/>
      <c r="T498" s="73" t="n"/>
      <c r="U498" s="73" t="n"/>
      <c r="V498" s="73" t="n"/>
      <c r="W498" s="73" t="n"/>
      <c r="X498" s="73" t="n"/>
    </row>
    <row r="499">
      <c r="A499" s="46" t="n"/>
      <c r="B499" s="46" t="n"/>
      <c r="C499" s="46"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row>
    <row r="500">
      <c r="A500" s="73" t="n"/>
      <c r="B500" s="73" t="n"/>
      <c r="C500" s="73" t="n"/>
      <c r="D500" s="73" t="n"/>
      <c r="E500" s="73" t="n"/>
      <c r="F500" s="73" t="n"/>
      <c r="G500" s="73" t="n"/>
      <c r="H500" s="73" t="n"/>
      <c r="I500" s="73" t="n"/>
      <c r="J500" s="73" t="n"/>
      <c r="K500" s="73" t="n"/>
      <c r="L500" s="73" t="n"/>
      <c r="M500" s="73" t="n"/>
      <c r="N500" s="73" t="n"/>
      <c r="O500" s="73" t="n"/>
      <c r="P500" s="73" t="n"/>
      <c r="Q500" s="73" t="n"/>
      <c r="R500" s="73" t="n"/>
      <c r="S500" s="73" t="n"/>
      <c r="T500" s="73" t="n"/>
      <c r="U500" s="73" t="n"/>
      <c r="V500" s="73" t="n"/>
      <c r="W500" s="73" t="n"/>
      <c r="X500" s="73" t="n"/>
    </row>
    <row r="501">
      <c r="A501" s="46" t="n"/>
      <c r="B501" s="46" t="n"/>
      <c r="C501" s="46"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row>
    <row r="502">
      <c r="A502" s="73" t="n"/>
      <c r="B502" s="73" t="n"/>
      <c r="C502" s="73" t="n"/>
      <c r="D502" s="73" t="n"/>
      <c r="E502" s="73" t="n"/>
      <c r="F502" s="73" t="n"/>
      <c r="G502" s="73" t="n"/>
      <c r="H502" s="73" t="n"/>
      <c r="I502" s="73" t="n"/>
      <c r="J502" s="73" t="n"/>
      <c r="K502" s="73" t="n"/>
      <c r="L502" s="73" t="n"/>
      <c r="M502" s="73" t="n"/>
      <c r="N502" s="73" t="n"/>
      <c r="O502" s="73" t="n"/>
      <c r="P502" s="73" t="n"/>
      <c r="Q502" s="73" t="n"/>
      <c r="R502" s="73" t="n"/>
      <c r="S502" s="73" t="n"/>
      <c r="T502" s="73" t="n"/>
      <c r="U502" s="73" t="n"/>
      <c r="V502" s="73" t="n"/>
      <c r="W502" s="73" t="n"/>
      <c r="X502" s="73" t="n"/>
    </row>
    <row r="503">
      <c r="A503" s="46" t="n"/>
      <c r="B503" s="46" t="n"/>
      <c r="C503" s="46"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row>
    <row r="504">
      <c r="A504" s="73" t="n"/>
      <c r="B504" s="73" t="n"/>
      <c r="C504" s="73" t="n"/>
      <c r="D504" s="73" t="n"/>
      <c r="E504" s="73" t="n"/>
      <c r="F504" s="73" t="n"/>
      <c r="G504" s="73" t="n"/>
      <c r="H504" s="73" t="n"/>
      <c r="I504" s="73" t="n"/>
      <c r="J504" s="73" t="n"/>
      <c r="K504" s="73" t="n"/>
      <c r="L504" s="73" t="n"/>
      <c r="M504" s="73" t="n"/>
      <c r="N504" s="73" t="n"/>
      <c r="O504" s="73" t="n"/>
      <c r="P504" s="73" t="n"/>
      <c r="Q504" s="73" t="n"/>
      <c r="R504" s="73" t="n"/>
      <c r="S504" s="73" t="n"/>
      <c r="T504" s="73" t="n"/>
      <c r="U504" s="73" t="n"/>
      <c r="V504" s="73" t="n"/>
      <c r="W504" s="73" t="n"/>
      <c r="X504" s="73" t="n"/>
    </row>
    <row r="505">
      <c r="A505" s="46" t="n"/>
      <c r="B505" s="46" t="n"/>
      <c r="C505" s="46"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row>
    <row r="506">
      <c r="A506" s="73" t="n"/>
      <c r="B506" s="73" t="n"/>
      <c r="C506" s="73" t="n"/>
      <c r="D506" s="73" t="n"/>
      <c r="E506" s="73" t="n"/>
      <c r="F506" s="73" t="n"/>
      <c r="G506" s="73" t="n"/>
      <c r="H506" s="73" t="n"/>
      <c r="I506" s="73" t="n"/>
      <c r="J506" s="73" t="n"/>
      <c r="K506" s="73" t="n"/>
      <c r="L506" s="73" t="n"/>
      <c r="M506" s="73" t="n"/>
      <c r="N506" s="73" t="n"/>
      <c r="O506" s="73" t="n"/>
      <c r="P506" s="73" t="n"/>
      <c r="Q506" s="73" t="n"/>
      <c r="R506" s="73" t="n"/>
      <c r="S506" s="73" t="n"/>
      <c r="T506" s="73" t="n"/>
      <c r="U506" s="73" t="n"/>
      <c r="V506" s="73" t="n"/>
      <c r="W506" s="73" t="n"/>
      <c r="X506" s="73" t="n"/>
    </row>
    <row r="507">
      <c r="A507" s="46" t="n"/>
      <c r="B507" s="46" t="n"/>
      <c r="C507" s="46"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row>
    <row r="508">
      <c r="A508" s="73" t="n"/>
      <c r="B508" s="73" t="n"/>
      <c r="C508" s="73" t="n"/>
      <c r="D508" s="73" t="n"/>
      <c r="E508" s="73" t="n"/>
      <c r="F508" s="73" t="n"/>
      <c r="G508" s="73" t="n"/>
      <c r="H508" s="73" t="n"/>
      <c r="I508" s="73" t="n"/>
      <c r="J508" s="73" t="n"/>
      <c r="K508" s="73" t="n"/>
      <c r="L508" s="73" t="n"/>
      <c r="M508" s="73" t="n"/>
      <c r="N508" s="73" t="n"/>
      <c r="O508" s="73" t="n"/>
      <c r="P508" s="73" t="n"/>
      <c r="Q508" s="73" t="n"/>
      <c r="R508" s="73" t="n"/>
      <c r="S508" s="73" t="n"/>
      <c r="T508" s="73" t="n"/>
      <c r="U508" s="73" t="n"/>
      <c r="V508" s="73" t="n"/>
      <c r="W508" s="73" t="n"/>
      <c r="X508" s="73" t="n"/>
    </row>
    <row r="509">
      <c r="A509" s="46" t="n"/>
      <c r="B509" s="46" t="n"/>
      <c r="C509" s="46"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row>
    <row r="510">
      <c r="A510" s="73" t="n"/>
      <c r="B510" s="73" t="n"/>
      <c r="C510" s="73" t="n"/>
      <c r="D510" s="73" t="n"/>
      <c r="E510" s="73" t="n"/>
      <c r="F510" s="73" t="n"/>
      <c r="G510" s="73" t="n"/>
      <c r="H510" s="73" t="n"/>
      <c r="I510" s="73" t="n"/>
      <c r="J510" s="73" t="n"/>
      <c r="K510" s="73" t="n"/>
      <c r="L510" s="73" t="n"/>
      <c r="M510" s="73" t="n"/>
      <c r="N510" s="73" t="n"/>
      <c r="O510" s="73" t="n"/>
      <c r="P510" s="73" t="n"/>
      <c r="Q510" s="73" t="n"/>
      <c r="R510" s="73" t="n"/>
      <c r="S510" s="73" t="n"/>
      <c r="T510" s="73" t="n"/>
      <c r="U510" s="73" t="n"/>
      <c r="V510" s="73" t="n"/>
      <c r="W510" s="73" t="n"/>
      <c r="X510" s="73" t="n"/>
    </row>
    <row r="511">
      <c r="A511" s="46" t="n"/>
      <c r="B511" s="46" t="n"/>
      <c r="C511" s="46"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row>
    <row r="512">
      <c r="A512" s="73" t="n"/>
      <c r="B512" s="73" t="n"/>
      <c r="C512" s="73" t="n"/>
      <c r="D512" s="73" t="n"/>
      <c r="E512" s="73" t="n"/>
      <c r="F512" s="73" t="n"/>
      <c r="G512" s="73" t="n"/>
      <c r="H512" s="73" t="n"/>
      <c r="I512" s="73" t="n"/>
      <c r="J512" s="73" t="n"/>
      <c r="K512" s="73" t="n"/>
      <c r="L512" s="73" t="n"/>
      <c r="M512" s="73" t="n"/>
      <c r="N512" s="73" t="n"/>
      <c r="O512" s="73" t="n"/>
      <c r="P512" s="73" t="n"/>
      <c r="Q512" s="73" t="n"/>
      <c r="R512" s="73" t="n"/>
      <c r="S512" s="73" t="n"/>
      <c r="T512" s="73" t="n"/>
      <c r="U512" s="73" t="n"/>
      <c r="V512" s="73" t="n"/>
      <c r="W512" s="73" t="n"/>
      <c r="X512" s="73" t="n"/>
    </row>
    <row r="513">
      <c r="A513" s="46" t="n"/>
      <c r="B513" s="46" t="n"/>
      <c r="C513" s="46"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row>
    <row r="514">
      <c r="A514" s="73" t="n"/>
      <c r="B514" s="73" t="n"/>
      <c r="C514" s="73" t="n"/>
      <c r="D514" s="73" t="n"/>
      <c r="E514" s="73" t="n"/>
      <c r="F514" s="73" t="n"/>
      <c r="G514" s="73" t="n"/>
      <c r="H514" s="73" t="n"/>
      <c r="I514" s="73" t="n"/>
      <c r="J514" s="73" t="n"/>
      <c r="K514" s="73" t="n"/>
      <c r="L514" s="73" t="n"/>
      <c r="M514" s="73" t="n"/>
      <c r="N514" s="73" t="n"/>
      <c r="O514" s="73" t="n"/>
      <c r="P514" s="73" t="n"/>
      <c r="Q514" s="73" t="n"/>
      <c r="R514" s="73" t="n"/>
      <c r="S514" s="73" t="n"/>
      <c r="T514" s="73" t="n"/>
      <c r="U514" s="73" t="n"/>
      <c r="V514" s="73" t="n"/>
      <c r="W514" s="73" t="n"/>
      <c r="X514" s="73" t="n"/>
    </row>
    <row r="515">
      <c r="A515" s="46" t="n"/>
      <c r="B515" s="46" t="n"/>
      <c r="C515" s="46"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row>
    <row r="516">
      <c r="A516" s="73" t="n"/>
      <c r="B516" s="73" t="n"/>
      <c r="C516" s="73" t="n"/>
      <c r="D516" s="73" t="n"/>
      <c r="E516" s="73" t="n"/>
      <c r="F516" s="73" t="n"/>
      <c r="G516" s="73" t="n"/>
      <c r="H516" s="73" t="n"/>
      <c r="I516" s="73" t="n"/>
      <c r="J516" s="73" t="n"/>
      <c r="K516" s="73" t="n"/>
      <c r="L516" s="73" t="n"/>
      <c r="M516" s="73" t="n"/>
      <c r="N516" s="73" t="n"/>
      <c r="O516" s="73" t="n"/>
      <c r="P516" s="73" t="n"/>
      <c r="Q516" s="73" t="n"/>
      <c r="R516" s="73" t="n"/>
      <c r="S516" s="73" t="n"/>
      <c r="T516" s="73" t="n"/>
      <c r="U516" s="73" t="n"/>
      <c r="V516" s="73" t="n"/>
      <c r="W516" s="73" t="n"/>
      <c r="X516" s="73" t="n"/>
    </row>
    <row r="517">
      <c r="A517" s="46" t="n"/>
      <c r="B517" s="46" t="n"/>
      <c r="C517" s="46"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row>
    <row r="518">
      <c r="A518" s="73" t="n"/>
      <c r="B518" s="73" t="n"/>
      <c r="C518" s="73" t="n"/>
      <c r="D518" s="73" t="n"/>
      <c r="E518" s="73" t="n"/>
      <c r="F518" s="73" t="n"/>
      <c r="G518" s="73" t="n"/>
      <c r="H518" s="73" t="n"/>
      <c r="I518" s="73" t="n"/>
      <c r="J518" s="73" t="n"/>
      <c r="K518" s="73" t="n"/>
      <c r="L518" s="73" t="n"/>
      <c r="M518" s="73" t="n"/>
      <c r="N518" s="73" t="n"/>
      <c r="O518" s="73" t="n"/>
      <c r="P518" s="73" t="n"/>
      <c r="Q518" s="73" t="n"/>
      <c r="R518" s="73" t="n"/>
      <c r="S518" s="73" t="n"/>
      <c r="T518" s="73" t="n"/>
      <c r="U518" s="73" t="n"/>
      <c r="V518" s="73" t="n"/>
      <c r="W518" s="73" t="n"/>
      <c r="X518" s="73" t="n"/>
    </row>
    <row r="519">
      <c r="A519" s="46" t="n"/>
      <c r="B519" s="46" t="n"/>
      <c r="C519" s="46"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row>
    <row r="520">
      <c r="A520" s="73" t="n"/>
      <c r="B520" s="73" t="n"/>
      <c r="C520" s="73" t="n"/>
      <c r="D520" s="73" t="n"/>
      <c r="E520" s="73" t="n"/>
      <c r="F520" s="73" t="n"/>
      <c r="G520" s="73" t="n"/>
      <c r="H520" s="73" t="n"/>
      <c r="I520" s="73" t="n"/>
      <c r="J520" s="73" t="n"/>
      <c r="K520" s="73" t="n"/>
      <c r="L520" s="73" t="n"/>
      <c r="M520" s="73" t="n"/>
      <c r="N520" s="73" t="n"/>
      <c r="O520" s="73" t="n"/>
      <c r="P520" s="73" t="n"/>
      <c r="Q520" s="73" t="n"/>
      <c r="R520" s="73" t="n"/>
      <c r="S520" s="73" t="n"/>
      <c r="T520" s="73" t="n"/>
      <c r="U520" s="73" t="n"/>
      <c r="V520" s="73" t="n"/>
      <c r="W520" s="73" t="n"/>
      <c r="X520" s="73" t="n"/>
    </row>
    <row r="521">
      <c r="A521" s="46" t="n"/>
      <c r="B521" s="46" t="n"/>
      <c r="C521" s="46"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row>
    <row r="522">
      <c r="A522" s="73" t="n"/>
      <c r="B522" s="73" t="n"/>
      <c r="C522" s="73" t="n"/>
      <c r="D522" s="73" t="n"/>
      <c r="E522" s="73" t="n"/>
      <c r="F522" s="73" t="n"/>
      <c r="G522" s="73" t="n"/>
      <c r="H522" s="73" t="n"/>
      <c r="I522" s="73" t="n"/>
      <c r="J522" s="73" t="n"/>
      <c r="K522" s="73" t="n"/>
      <c r="L522" s="73" t="n"/>
      <c r="M522" s="73" t="n"/>
      <c r="N522" s="73" t="n"/>
      <c r="O522" s="73" t="n"/>
      <c r="P522" s="73" t="n"/>
      <c r="Q522" s="73" t="n"/>
      <c r="R522" s="73" t="n"/>
      <c r="S522" s="73" t="n"/>
      <c r="T522" s="73" t="n"/>
      <c r="U522" s="73" t="n"/>
      <c r="V522" s="73" t="n"/>
      <c r="W522" s="73" t="n"/>
      <c r="X522" s="73" t="n"/>
    </row>
    <row r="523">
      <c r="A523" s="46" t="n"/>
      <c r="B523" s="46" t="n"/>
      <c r="C523" s="46"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row>
    <row r="524">
      <c r="A524" s="73" t="n"/>
      <c r="B524" s="73" t="n"/>
      <c r="C524" s="73" t="n"/>
      <c r="D524" s="73" t="n"/>
      <c r="E524" s="73" t="n"/>
      <c r="F524" s="73" t="n"/>
      <c r="G524" s="73" t="n"/>
      <c r="H524" s="73" t="n"/>
      <c r="I524" s="73" t="n"/>
      <c r="J524" s="73" t="n"/>
      <c r="K524" s="73" t="n"/>
      <c r="L524" s="73" t="n"/>
      <c r="M524" s="73" t="n"/>
      <c r="N524" s="73" t="n"/>
      <c r="O524" s="73" t="n"/>
      <c r="P524" s="73" t="n"/>
      <c r="Q524" s="73" t="n"/>
      <c r="R524" s="73" t="n"/>
      <c r="S524" s="73" t="n"/>
      <c r="T524" s="73" t="n"/>
      <c r="U524" s="73" t="n"/>
      <c r="V524" s="73" t="n"/>
      <c r="W524" s="73" t="n"/>
      <c r="X524" s="73" t="n"/>
    </row>
    <row r="525">
      <c r="A525" s="46" t="n"/>
      <c r="B525" s="46" t="n"/>
      <c r="C525" s="46"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row>
    <row r="526">
      <c r="A526" s="73" t="n"/>
      <c r="B526" s="73" t="n"/>
      <c r="C526" s="73" t="n"/>
      <c r="D526" s="73" t="n"/>
      <c r="E526" s="73" t="n"/>
      <c r="F526" s="73" t="n"/>
      <c r="G526" s="73" t="n"/>
      <c r="H526" s="73" t="n"/>
      <c r="I526" s="73" t="n"/>
      <c r="J526" s="73" t="n"/>
      <c r="K526" s="73" t="n"/>
      <c r="L526" s="73" t="n"/>
      <c r="M526" s="73" t="n"/>
      <c r="N526" s="73" t="n"/>
      <c r="O526" s="73" t="n"/>
      <c r="P526" s="73" t="n"/>
      <c r="Q526" s="73" t="n"/>
      <c r="R526" s="73" t="n"/>
      <c r="S526" s="73" t="n"/>
      <c r="T526" s="73" t="n"/>
      <c r="U526" s="73" t="n"/>
      <c r="V526" s="73" t="n"/>
      <c r="W526" s="73" t="n"/>
      <c r="X526" s="73" t="n"/>
    </row>
    <row r="527">
      <c r="A527" s="46" t="n"/>
      <c r="B527" s="46" t="n"/>
      <c r="C527" s="46"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row>
    <row r="528">
      <c r="A528" s="73" t="n"/>
      <c r="B528" s="73" t="n"/>
      <c r="C528" s="73" t="n"/>
      <c r="D528" s="73" t="n"/>
      <c r="E528" s="73" t="n"/>
      <c r="F528" s="73" t="n"/>
      <c r="G528" s="73" t="n"/>
      <c r="H528" s="73" t="n"/>
      <c r="I528" s="73" t="n"/>
      <c r="J528" s="73" t="n"/>
      <c r="K528" s="73" t="n"/>
      <c r="L528" s="73" t="n"/>
      <c r="M528" s="73" t="n"/>
      <c r="N528" s="73" t="n"/>
      <c r="O528" s="73" t="n"/>
      <c r="P528" s="73" t="n"/>
      <c r="Q528" s="73" t="n"/>
      <c r="R528" s="73" t="n"/>
      <c r="S528" s="73" t="n"/>
      <c r="T528" s="73" t="n"/>
      <c r="U528" s="73" t="n"/>
      <c r="V528" s="73" t="n"/>
      <c r="W528" s="73" t="n"/>
      <c r="X528" s="73" t="n"/>
    </row>
    <row r="529">
      <c r="A529" s="46" t="n"/>
      <c r="B529" s="46" t="n"/>
      <c r="C529" s="46"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row>
    <row r="530">
      <c r="A530" s="73" t="n"/>
      <c r="B530" s="73" t="n"/>
      <c r="C530" s="73" t="n"/>
      <c r="D530" s="73" t="n"/>
      <c r="E530" s="73" t="n"/>
      <c r="F530" s="73" t="n"/>
      <c r="G530" s="73" t="n"/>
      <c r="H530" s="73" t="n"/>
      <c r="I530" s="73" t="n"/>
      <c r="J530" s="73" t="n"/>
      <c r="K530" s="73" t="n"/>
      <c r="L530" s="73" t="n"/>
      <c r="M530" s="73" t="n"/>
      <c r="N530" s="73" t="n"/>
      <c r="O530" s="73" t="n"/>
      <c r="P530" s="73" t="n"/>
      <c r="Q530" s="73" t="n"/>
      <c r="R530" s="73" t="n"/>
      <c r="S530" s="73" t="n"/>
      <c r="T530" s="73" t="n"/>
      <c r="U530" s="73" t="n"/>
      <c r="V530" s="73" t="n"/>
      <c r="W530" s="73" t="n"/>
      <c r="X530" s="73" t="n"/>
    </row>
    <row r="531">
      <c r="A531" s="46" t="n"/>
      <c r="B531" s="46" t="n"/>
      <c r="C531" s="46"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row>
    <row r="532">
      <c r="A532" s="73" t="n"/>
      <c r="B532" s="73" t="n"/>
      <c r="C532" s="73" t="n"/>
      <c r="D532" s="73" t="n"/>
      <c r="E532" s="73" t="n"/>
      <c r="F532" s="73" t="n"/>
      <c r="G532" s="73" t="n"/>
      <c r="H532" s="73" t="n"/>
      <c r="I532" s="73" t="n"/>
      <c r="J532" s="73" t="n"/>
      <c r="K532" s="73" t="n"/>
      <c r="L532" s="73" t="n"/>
      <c r="M532" s="73" t="n"/>
      <c r="N532" s="73" t="n"/>
      <c r="O532" s="73" t="n"/>
      <c r="P532" s="73" t="n"/>
      <c r="Q532" s="73" t="n"/>
      <c r="R532" s="73" t="n"/>
      <c r="S532" s="73" t="n"/>
      <c r="T532" s="73" t="n"/>
      <c r="U532" s="73" t="n"/>
      <c r="V532" s="73" t="n"/>
      <c r="W532" s="73" t="n"/>
      <c r="X532" s="73" t="n"/>
    </row>
    <row r="533">
      <c r="A533" s="46" t="n"/>
      <c r="B533" s="46" t="n"/>
      <c r="C533" s="46"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row>
    <row r="534">
      <c r="A534" s="73" t="n"/>
      <c r="B534" s="73" t="n"/>
      <c r="C534" s="73" t="n"/>
      <c r="D534" s="73" t="n"/>
      <c r="E534" s="73" t="n"/>
      <c r="F534" s="73" t="n"/>
      <c r="G534" s="73" t="n"/>
      <c r="H534" s="73" t="n"/>
      <c r="I534" s="73" t="n"/>
      <c r="J534" s="73" t="n"/>
      <c r="K534" s="73" t="n"/>
      <c r="L534" s="73" t="n"/>
      <c r="M534" s="73" t="n"/>
      <c r="N534" s="73" t="n"/>
      <c r="O534" s="73" t="n"/>
      <c r="P534" s="73" t="n"/>
      <c r="Q534" s="73" t="n"/>
      <c r="R534" s="73" t="n"/>
      <c r="S534" s="73" t="n"/>
      <c r="T534" s="73" t="n"/>
      <c r="U534" s="73" t="n"/>
      <c r="V534" s="73" t="n"/>
      <c r="W534" s="73" t="n"/>
      <c r="X534" s="73" t="n"/>
    </row>
    <row r="535">
      <c r="A535" s="46" t="n"/>
      <c r="B535" s="46" t="n"/>
      <c r="C535" s="46"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row>
    <row r="536">
      <c r="A536" s="73" t="n"/>
      <c r="B536" s="73" t="n"/>
      <c r="C536" s="73" t="n"/>
      <c r="D536" s="73" t="n"/>
      <c r="E536" s="73" t="n"/>
      <c r="F536" s="73" t="n"/>
      <c r="G536" s="73" t="n"/>
      <c r="H536" s="73" t="n"/>
      <c r="I536" s="73" t="n"/>
      <c r="J536" s="73" t="n"/>
      <c r="K536" s="73" t="n"/>
      <c r="L536" s="73" t="n"/>
      <c r="M536" s="73" t="n"/>
      <c r="N536" s="73" t="n"/>
      <c r="O536" s="73" t="n"/>
      <c r="P536" s="73" t="n"/>
      <c r="Q536" s="73" t="n"/>
      <c r="R536" s="73" t="n"/>
      <c r="S536" s="73" t="n"/>
      <c r="T536" s="73" t="n"/>
      <c r="U536" s="73" t="n"/>
      <c r="V536" s="73" t="n"/>
      <c r="W536" s="73" t="n"/>
      <c r="X536" s="73" t="n"/>
    </row>
    <row r="537">
      <c r="A537" s="46" t="n"/>
      <c r="B537" s="46" t="n"/>
      <c r="C537" s="46"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row>
    <row r="538">
      <c r="A538" s="73" t="n"/>
      <c r="B538" s="73" t="n"/>
      <c r="C538" s="73" t="n"/>
      <c r="D538" s="73" t="n"/>
      <c r="E538" s="73" t="n"/>
      <c r="F538" s="73" t="n"/>
      <c r="G538" s="73" t="n"/>
      <c r="H538" s="73" t="n"/>
      <c r="I538" s="73" t="n"/>
      <c r="J538" s="73" t="n"/>
      <c r="K538" s="73" t="n"/>
      <c r="L538" s="73" t="n"/>
      <c r="M538" s="73" t="n"/>
      <c r="N538" s="73" t="n"/>
      <c r="O538" s="73" t="n"/>
      <c r="P538" s="73" t="n"/>
      <c r="Q538" s="73" t="n"/>
      <c r="R538" s="73" t="n"/>
      <c r="S538" s="73" t="n"/>
      <c r="T538" s="73" t="n"/>
      <c r="U538" s="73" t="n"/>
      <c r="V538" s="73" t="n"/>
      <c r="W538" s="73" t="n"/>
      <c r="X538" s="73" t="n"/>
    </row>
    <row r="539">
      <c r="A539" s="46" t="n"/>
      <c r="B539" s="46" t="n"/>
      <c r="C539" s="46"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row>
    <row r="540">
      <c r="A540" s="73" t="n"/>
      <c r="B540" s="73" t="n"/>
      <c r="C540" s="73" t="n"/>
      <c r="D540" s="73" t="n"/>
      <c r="E540" s="73" t="n"/>
      <c r="F540" s="73" t="n"/>
      <c r="G540" s="73" t="n"/>
      <c r="H540" s="73" t="n"/>
      <c r="I540" s="73" t="n"/>
      <c r="J540" s="73" t="n"/>
      <c r="K540" s="73" t="n"/>
      <c r="L540" s="73" t="n"/>
      <c r="M540" s="73" t="n"/>
      <c r="N540" s="73" t="n"/>
      <c r="O540" s="73" t="n"/>
      <c r="P540" s="73" t="n"/>
      <c r="Q540" s="73" t="n"/>
      <c r="R540" s="73" t="n"/>
      <c r="S540" s="73" t="n"/>
      <c r="T540" s="73" t="n"/>
      <c r="U540" s="73" t="n"/>
      <c r="V540" s="73" t="n"/>
      <c r="W540" s="73" t="n"/>
      <c r="X540" s="73" t="n"/>
    </row>
    <row r="541">
      <c r="A541" s="46" t="n"/>
      <c r="B541" s="46" t="n"/>
      <c r="C541" s="46"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row>
    <row r="542">
      <c r="A542" s="73" t="n"/>
      <c r="B542" s="73" t="n"/>
      <c r="C542" s="73" t="n"/>
      <c r="D542" s="73" t="n"/>
      <c r="E542" s="73" t="n"/>
      <c r="F542" s="73" t="n"/>
      <c r="G542" s="73" t="n"/>
      <c r="H542" s="73" t="n"/>
      <c r="I542" s="73" t="n"/>
      <c r="J542" s="73" t="n"/>
      <c r="K542" s="73" t="n"/>
      <c r="L542" s="73" t="n"/>
      <c r="M542" s="73" t="n"/>
      <c r="N542" s="73" t="n"/>
      <c r="O542" s="73" t="n"/>
      <c r="P542" s="73" t="n"/>
      <c r="Q542" s="73" t="n"/>
      <c r="R542" s="73" t="n"/>
      <c r="S542" s="73" t="n"/>
      <c r="T542" s="73" t="n"/>
      <c r="U542" s="73" t="n"/>
      <c r="V542" s="73" t="n"/>
      <c r="W542" s="73" t="n"/>
      <c r="X542" s="73" t="n"/>
    </row>
    <row r="543">
      <c r="A543" s="46" t="n"/>
      <c r="B543" s="46" t="n"/>
      <c r="C543" s="46"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row>
    <row r="544">
      <c r="A544" s="73" t="n"/>
      <c r="B544" s="73" t="n"/>
      <c r="C544" s="73" t="n"/>
      <c r="D544" s="73" t="n"/>
      <c r="E544" s="73" t="n"/>
      <c r="F544" s="73" t="n"/>
      <c r="G544" s="73" t="n"/>
      <c r="H544" s="73" t="n"/>
      <c r="I544" s="73" t="n"/>
      <c r="J544" s="73" t="n"/>
      <c r="K544" s="73" t="n"/>
      <c r="L544" s="73" t="n"/>
      <c r="M544" s="73" t="n"/>
      <c r="N544" s="73" t="n"/>
      <c r="O544" s="73" t="n"/>
      <c r="P544" s="73" t="n"/>
      <c r="Q544" s="73" t="n"/>
      <c r="R544" s="73" t="n"/>
      <c r="S544" s="73" t="n"/>
      <c r="T544" s="73" t="n"/>
      <c r="U544" s="73" t="n"/>
      <c r="V544" s="73" t="n"/>
      <c r="W544" s="73" t="n"/>
      <c r="X544" s="73" t="n"/>
    </row>
    <row r="545">
      <c r="A545" s="46" t="n"/>
      <c r="B545" s="46" t="n"/>
      <c r="C545" s="46"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row>
    <row r="546">
      <c r="A546" s="73" t="n"/>
      <c r="B546" s="73" t="n"/>
      <c r="C546" s="73" t="n"/>
      <c r="D546" s="73" t="n"/>
      <c r="E546" s="73" t="n"/>
      <c r="F546" s="73" t="n"/>
      <c r="G546" s="73" t="n"/>
      <c r="H546" s="73" t="n"/>
      <c r="I546" s="73" t="n"/>
      <c r="J546" s="73" t="n"/>
      <c r="K546" s="73" t="n"/>
      <c r="L546" s="73" t="n"/>
      <c r="M546" s="73" t="n"/>
      <c r="N546" s="73" t="n"/>
      <c r="O546" s="73" t="n"/>
      <c r="P546" s="73" t="n"/>
      <c r="Q546" s="73" t="n"/>
      <c r="R546" s="73" t="n"/>
      <c r="S546" s="73" t="n"/>
      <c r="T546" s="73" t="n"/>
      <c r="U546" s="73" t="n"/>
      <c r="V546" s="73" t="n"/>
      <c r="W546" s="73" t="n"/>
      <c r="X546" s="73" t="n"/>
    </row>
    <row r="547">
      <c r="A547" s="46" t="n"/>
      <c r="B547" s="46" t="n"/>
      <c r="C547" s="46"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row>
    <row r="548">
      <c r="A548" s="73" t="n"/>
      <c r="B548" s="73" t="n"/>
      <c r="C548" s="73" t="n"/>
      <c r="D548" s="73" t="n"/>
      <c r="E548" s="73" t="n"/>
      <c r="F548" s="73" t="n"/>
      <c r="G548" s="73" t="n"/>
      <c r="H548" s="73" t="n"/>
      <c r="I548" s="73" t="n"/>
      <c r="J548" s="73" t="n"/>
      <c r="K548" s="73" t="n"/>
      <c r="L548" s="73" t="n"/>
      <c r="M548" s="73" t="n"/>
      <c r="N548" s="73" t="n"/>
      <c r="O548" s="73" t="n"/>
      <c r="P548" s="73" t="n"/>
      <c r="Q548" s="73" t="n"/>
      <c r="R548" s="73" t="n"/>
      <c r="S548" s="73" t="n"/>
      <c r="T548" s="73" t="n"/>
      <c r="U548" s="73" t="n"/>
      <c r="V548" s="73" t="n"/>
      <c r="W548" s="73" t="n"/>
      <c r="X548" s="73" t="n"/>
    </row>
    <row r="549">
      <c r="A549" s="46" t="n"/>
      <c r="B549" s="46" t="n"/>
      <c r="C549" s="46"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row>
    <row r="550">
      <c r="A550" s="73" t="n"/>
      <c r="B550" s="73" t="n"/>
      <c r="C550" s="73" t="n"/>
      <c r="D550" s="73" t="n"/>
      <c r="E550" s="73" t="n"/>
      <c r="F550" s="73" t="n"/>
      <c r="G550" s="73" t="n"/>
      <c r="H550" s="73" t="n"/>
      <c r="I550" s="73" t="n"/>
      <c r="J550" s="73" t="n"/>
      <c r="K550" s="73" t="n"/>
      <c r="L550" s="73" t="n"/>
      <c r="M550" s="73" t="n"/>
      <c r="N550" s="73" t="n"/>
      <c r="O550" s="73" t="n"/>
      <c r="P550" s="73" t="n"/>
      <c r="Q550" s="73" t="n"/>
      <c r="R550" s="73" t="n"/>
      <c r="S550" s="73" t="n"/>
      <c r="T550" s="73" t="n"/>
      <c r="U550" s="73" t="n"/>
      <c r="V550" s="73" t="n"/>
      <c r="W550" s="73" t="n"/>
      <c r="X550" s="73" t="n"/>
    </row>
    <row r="551">
      <c r="A551" s="46" t="n"/>
      <c r="B551" s="46" t="n"/>
      <c r="C551" s="46"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row>
    <row r="552">
      <c r="A552" s="73" t="n"/>
      <c r="B552" s="73" t="n"/>
      <c r="C552" s="73" t="n"/>
      <c r="D552" s="73" t="n"/>
      <c r="E552" s="73" t="n"/>
      <c r="F552" s="73" t="n"/>
      <c r="G552" s="73" t="n"/>
      <c r="H552" s="73" t="n"/>
      <c r="I552" s="73" t="n"/>
      <c r="J552" s="73" t="n"/>
      <c r="K552" s="73" t="n"/>
      <c r="L552" s="73" t="n"/>
      <c r="M552" s="73" t="n"/>
      <c r="N552" s="73" t="n"/>
      <c r="O552" s="73" t="n"/>
      <c r="P552" s="73" t="n"/>
      <c r="Q552" s="73" t="n"/>
      <c r="R552" s="73" t="n"/>
      <c r="S552" s="73" t="n"/>
      <c r="T552" s="73" t="n"/>
      <c r="U552" s="73" t="n"/>
      <c r="V552" s="73" t="n"/>
      <c r="W552" s="73" t="n"/>
      <c r="X552" s="73" t="n"/>
    </row>
    <row r="553">
      <c r="A553" s="46" t="n"/>
      <c r="B553" s="46" t="n"/>
      <c r="C553" s="46"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row>
    <row r="554">
      <c r="A554" s="73" t="n"/>
      <c r="B554" s="73" t="n"/>
      <c r="C554" s="73" t="n"/>
      <c r="D554" s="73" t="n"/>
      <c r="E554" s="73" t="n"/>
      <c r="F554" s="73" t="n"/>
      <c r="G554" s="73" t="n"/>
      <c r="H554" s="73" t="n"/>
      <c r="I554" s="73" t="n"/>
      <c r="J554" s="73" t="n"/>
      <c r="K554" s="73" t="n"/>
      <c r="L554" s="73" t="n"/>
      <c r="M554" s="73" t="n"/>
      <c r="N554" s="73" t="n"/>
      <c r="O554" s="73" t="n"/>
      <c r="P554" s="73" t="n"/>
      <c r="Q554" s="73" t="n"/>
      <c r="R554" s="73" t="n"/>
      <c r="S554" s="73" t="n"/>
      <c r="T554" s="73" t="n"/>
      <c r="U554" s="73" t="n"/>
      <c r="V554" s="73" t="n"/>
      <c r="W554" s="73" t="n"/>
      <c r="X554" s="73" t="n"/>
    </row>
    <row r="555">
      <c r="A555" s="46" t="n"/>
      <c r="B555" s="46" t="n"/>
      <c r="C555" s="46"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row>
    <row r="556">
      <c r="A556" s="73" t="n"/>
      <c r="B556" s="73" t="n"/>
      <c r="C556" s="73" t="n"/>
      <c r="D556" s="73" t="n"/>
      <c r="E556" s="73" t="n"/>
      <c r="F556" s="73" t="n"/>
      <c r="G556" s="73" t="n"/>
      <c r="H556" s="73" t="n"/>
      <c r="I556" s="73" t="n"/>
      <c r="J556" s="73" t="n"/>
      <c r="K556" s="73" t="n"/>
      <c r="L556" s="73" t="n"/>
      <c r="M556" s="73" t="n"/>
      <c r="N556" s="73" t="n"/>
      <c r="O556" s="73" t="n"/>
      <c r="P556" s="73" t="n"/>
      <c r="Q556" s="73" t="n"/>
      <c r="R556" s="73" t="n"/>
      <c r="S556" s="73" t="n"/>
      <c r="T556" s="73" t="n"/>
      <c r="U556" s="73" t="n"/>
      <c r="V556" s="73" t="n"/>
      <c r="W556" s="73" t="n"/>
      <c r="X556" s="73" t="n"/>
    </row>
    <row r="557">
      <c r="A557" s="46" t="n"/>
      <c r="B557" s="46" t="n"/>
      <c r="C557" s="46"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row>
    <row r="558">
      <c r="A558" s="73" t="n"/>
      <c r="B558" s="73" t="n"/>
      <c r="C558" s="73" t="n"/>
      <c r="D558" s="73" t="n"/>
      <c r="E558" s="73" t="n"/>
      <c r="F558" s="73" t="n"/>
      <c r="G558" s="73" t="n"/>
      <c r="H558" s="73" t="n"/>
      <c r="I558" s="73" t="n"/>
      <c r="J558" s="73" t="n"/>
      <c r="K558" s="73" t="n"/>
      <c r="L558" s="73" t="n"/>
      <c r="M558" s="73" t="n"/>
      <c r="N558" s="73" t="n"/>
      <c r="O558" s="73" t="n"/>
      <c r="P558" s="73" t="n"/>
      <c r="Q558" s="73" t="n"/>
      <c r="R558" s="73" t="n"/>
      <c r="S558" s="73" t="n"/>
      <c r="T558" s="73" t="n"/>
      <c r="U558" s="73" t="n"/>
      <c r="V558" s="73" t="n"/>
      <c r="W558" s="73" t="n"/>
      <c r="X558" s="73" t="n"/>
    </row>
    <row r="559">
      <c r="A559" s="46" t="n"/>
      <c r="B559" s="46" t="n"/>
      <c r="C559" s="46"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row>
    <row r="560">
      <c r="A560" s="73" t="n"/>
      <c r="B560" s="73" t="n"/>
      <c r="C560" s="73" t="n"/>
      <c r="D560" s="73" t="n"/>
      <c r="E560" s="73" t="n"/>
      <c r="F560" s="73" t="n"/>
      <c r="G560" s="73" t="n"/>
      <c r="H560" s="73" t="n"/>
      <c r="I560" s="73" t="n"/>
      <c r="J560" s="73" t="n"/>
      <c r="K560" s="73" t="n"/>
      <c r="L560" s="73" t="n"/>
      <c r="M560" s="73" t="n"/>
      <c r="N560" s="73" t="n"/>
      <c r="O560" s="73" t="n"/>
      <c r="P560" s="73" t="n"/>
      <c r="Q560" s="73" t="n"/>
      <c r="R560" s="73" t="n"/>
      <c r="S560" s="73" t="n"/>
      <c r="T560" s="73" t="n"/>
      <c r="U560" s="73" t="n"/>
      <c r="V560" s="73" t="n"/>
      <c r="W560" s="73" t="n"/>
      <c r="X560" s="73" t="n"/>
    </row>
    <row r="561">
      <c r="A561" s="46" t="n"/>
      <c r="B561" s="46" t="n"/>
      <c r="C561" s="46"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row>
    <row r="562">
      <c r="A562" s="73" t="n"/>
      <c r="B562" s="73" t="n"/>
      <c r="C562" s="73" t="n"/>
      <c r="D562" s="73" t="n"/>
      <c r="E562" s="73" t="n"/>
      <c r="F562" s="73" t="n"/>
      <c r="G562" s="73" t="n"/>
      <c r="H562" s="73" t="n"/>
      <c r="I562" s="73" t="n"/>
      <c r="J562" s="73" t="n"/>
      <c r="K562" s="73" t="n"/>
      <c r="L562" s="73" t="n"/>
      <c r="M562" s="73" t="n"/>
      <c r="N562" s="73" t="n"/>
      <c r="O562" s="73" t="n"/>
      <c r="P562" s="73" t="n"/>
      <c r="Q562" s="73" t="n"/>
      <c r="R562" s="73" t="n"/>
      <c r="S562" s="73" t="n"/>
      <c r="T562" s="73" t="n"/>
      <c r="U562" s="73" t="n"/>
      <c r="V562" s="73" t="n"/>
      <c r="W562" s="73" t="n"/>
      <c r="X562" s="73" t="n"/>
    </row>
    <row r="563">
      <c r="A563" s="46" t="n"/>
      <c r="B563" s="46" t="n"/>
      <c r="C563" s="46"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row>
    <row r="564">
      <c r="A564" s="73" t="n"/>
      <c r="B564" s="73" t="n"/>
      <c r="C564" s="73" t="n"/>
      <c r="D564" s="73" t="n"/>
      <c r="E564" s="73" t="n"/>
      <c r="F564" s="73" t="n"/>
      <c r="G564" s="73" t="n"/>
      <c r="H564" s="73" t="n"/>
      <c r="I564" s="73" t="n"/>
      <c r="J564" s="73" t="n"/>
      <c r="K564" s="73" t="n"/>
      <c r="L564" s="73" t="n"/>
      <c r="M564" s="73" t="n"/>
      <c r="N564" s="73" t="n"/>
      <c r="O564" s="73" t="n"/>
      <c r="P564" s="73" t="n"/>
      <c r="Q564" s="73" t="n"/>
      <c r="R564" s="73" t="n"/>
      <c r="S564" s="73" t="n"/>
      <c r="T564" s="73" t="n"/>
      <c r="U564" s="73" t="n"/>
      <c r="V564" s="73" t="n"/>
      <c r="W564" s="73" t="n"/>
      <c r="X564" s="73" t="n"/>
    </row>
    <row r="565">
      <c r="A565" s="46" t="n"/>
      <c r="B565" s="46" t="n"/>
      <c r="C565" s="46"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row>
    <row r="566">
      <c r="A566" s="73" t="n"/>
      <c r="B566" s="73" t="n"/>
      <c r="C566" s="73" t="n"/>
      <c r="D566" s="73" t="n"/>
      <c r="E566" s="73" t="n"/>
      <c r="F566" s="73" t="n"/>
      <c r="G566" s="73" t="n"/>
      <c r="H566" s="73" t="n"/>
      <c r="I566" s="73" t="n"/>
      <c r="J566" s="73" t="n"/>
      <c r="K566" s="73" t="n"/>
      <c r="L566" s="73" t="n"/>
      <c r="M566" s="73" t="n"/>
      <c r="N566" s="73" t="n"/>
      <c r="O566" s="73" t="n"/>
      <c r="P566" s="73" t="n"/>
      <c r="Q566" s="73" t="n"/>
      <c r="R566" s="73" t="n"/>
      <c r="S566" s="73" t="n"/>
      <c r="T566" s="73" t="n"/>
      <c r="U566" s="73" t="n"/>
      <c r="V566" s="73" t="n"/>
      <c r="W566" s="73" t="n"/>
      <c r="X566" s="73" t="n"/>
    </row>
    <row r="567">
      <c r="A567" s="46" t="n"/>
      <c r="B567" s="46" t="n"/>
      <c r="C567" s="46"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row>
    <row r="568">
      <c r="A568" s="73" t="n"/>
      <c r="B568" s="73" t="n"/>
      <c r="C568" s="73" t="n"/>
      <c r="D568" s="73" t="n"/>
      <c r="E568" s="73" t="n"/>
      <c r="F568" s="73" t="n"/>
      <c r="G568" s="73" t="n"/>
      <c r="H568" s="73" t="n"/>
      <c r="I568" s="73" t="n"/>
      <c r="J568" s="73" t="n"/>
      <c r="K568" s="73" t="n"/>
      <c r="L568" s="73" t="n"/>
      <c r="M568" s="73" t="n"/>
      <c r="N568" s="73" t="n"/>
      <c r="O568" s="73" t="n"/>
      <c r="P568" s="73" t="n"/>
      <c r="Q568" s="73" t="n"/>
      <c r="R568" s="73" t="n"/>
      <c r="S568" s="73" t="n"/>
      <c r="T568" s="73" t="n"/>
      <c r="U568" s="73" t="n"/>
      <c r="V568" s="73" t="n"/>
      <c r="W568" s="73" t="n"/>
      <c r="X568" s="73" t="n"/>
    </row>
    <row r="569">
      <c r="A569" s="46" t="n"/>
      <c r="B569" s="46" t="n"/>
      <c r="C569" s="46"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row>
    <row r="570">
      <c r="A570" s="73" t="n"/>
      <c r="B570" s="73" t="n"/>
      <c r="C570" s="73" t="n"/>
      <c r="D570" s="73" t="n"/>
      <c r="E570" s="73" t="n"/>
      <c r="F570" s="73" t="n"/>
      <c r="G570" s="73" t="n"/>
      <c r="H570" s="73" t="n"/>
      <c r="I570" s="73" t="n"/>
      <c r="J570" s="73" t="n"/>
      <c r="K570" s="73" t="n"/>
      <c r="L570" s="73" t="n"/>
      <c r="M570" s="73" t="n"/>
      <c r="N570" s="73" t="n"/>
      <c r="O570" s="73" t="n"/>
      <c r="P570" s="73" t="n"/>
      <c r="Q570" s="73" t="n"/>
      <c r="R570" s="73" t="n"/>
      <c r="S570" s="73" t="n"/>
      <c r="T570" s="73" t="n"/>
      <c r="U570" s="73" t="n"/>
      <c r="V570" s="73" t="n"/>
      <c r="W570" s="73" t="n"/>
      <c r="X570" s="73" t="n"/>
    </row>
    <row r="571">
      <c r="A571" s="46" t="n"/>
      <c r="B571" s="46" t="n"/>
      <c r="C571" s="46"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row>
    <row r="572">
      <c r="A572" s="73" t="n"/>
      <c r="B572" s="73" t="n"/>
      <c r="C572" s="73" t="n"/>
      <c r="D572" s="73" t="n"/>
      <c r="E572" s="73" t="n"/>
      <c r="F572" s="73" t="n"/>
      <c r="G572" s="73" t="n"/>
      <c r="H572" s="73" t="n"/>
      <c r="I572" s="73" t="n"/>
      <c r="J572" s="73" t="n"/>
      <c r="K572" s="73" t="n"/>
      <c r="L572" s="73" t="n"/>
      <c r="M572" s="73" t="n"/>
      <c r="N572" s="73" t="n"/>
      <c r="O572" s="73" t="n"/>
      <c r="P572" s="73" t="n"/>
      <c r="Q572" s="73" t="n"/>
      <c r="R572" s="73" t="n"/>
      <c r="S572" s="73" t="n"/>
      <c r="T572" s="73" t="n"/>
      <c r="U572" s="73" t="n"/>
      <c r="V572" s="73" t="n"/>
      <c r="W572" s="73" t="n"/>
      <c r="X572" s="73" t="n"/>
    </row>
    <row r="573">
      <c r="A573" s="46" t="n"/>
      <c r="B573" s="46" t="n"/>
      <c r="C573" s="46"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row>
    <row r="574">
      <c r="A574" s="73" t="n"/>
      <c r="B574" s="73" t="n"/>
      <c r="C574" s="73" t="n"/>
      <c r="D574" s="73" t="n"/>
      <c r="E574" s="73" t="n"/>
      <c r="F574" s="73" t="n"/>
      <c r="G574" s="73" t="n"/>
      <c r="H574" s="73" t="n"/>
      <c r="I574" s="73" t="n"/>
      <c r="J574" s="73" t="n"/>
      <c r="K574" s="73" t="n"/>
      <c r="L574" s="73" t="n"/>
      <c r="M574" s="73" t="n"/>
      <c r="N574" s="73" t="n"/>
      <c r="O574" s="73" t="n"/>
      <c r="P574" s="73" t="n"/>
      <c r="Q574" s="73" t="n"/>
      <c r="R574" s="73" t="n"/>
      <c r="S574" s="73" t="n"/>
      <c r="T574" s="73" t="n"/>
      <c r="U574" s="73" t="n"/>
      <c r="V574" s="73" t="n"/>
      <c r="W574" s="73" t="n"/>
      <c r="X574" s="73" t="n"/>
    </row>
    <row r="575">
      <c r="A575" s="46" t="n"/>
      <c r="B575" s="46" t="n"/>
      <c r="C575" s="46"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row>
    <row r="576">
      <c r="A576" s="73" t="n"/>
      <c r="B576" s="73" t="n"/>
      <c r="C576" s="73" t="n"/>
      <c r="D576" s="73" t="n"/>
      <c r="E576" s="73" t="n"/>
      <c r="F576" s="73" t="n"/>
      <c r="G576" s="73" t="n"/>
      <c r="H576" s="73" t="n"/>
      <c r="I576" s="73" t="n"/>
      <c r="J576" s="73" t="n"/>
      <c r="K576" s="73" t="n"/>
      <c r="L576" s="73" t="n"/>
      <c r="M576" s="73" t="n"/>
      <c r="N576" s="73" t="n"/>
      <c r="O576" s="73" t="n"/>
      <c r="P576" s="73" t="n"/>
      <c r="Q576" s="73" t="n"/>
      <c r="R576" s="73" t="n"/>
      <c r="S576" s="73" t="n"/>
      <c r="T576" s="73" t="n"/>
      <c r="U576" s="73" t="n"/>
      <c r="V576" s="73" t="n"/>
      <c r="W576" s="73" t="n"/>
      <c r="X576" s="73" t="n"/>
    </row>
    <row r="577">
      <c r="A577" s="46" t="n"/>
      <c r="B577" s="46" t="n"/>
      <c r="C577" s="46"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row>
    <row r="578">
      <c r="A578" s="73" t="n"/>
      <c r="B578" s="73" t="n"/>
      <c r="C578" s="73" t="n"/>
      <c r="D578" s="73" t="n"/>
      <c r="E578" s="73" t="n"/>
      <c r="F578" s="73" t="n"/>
      <c r="G578" s="73" t="n"/>
      <c r="H578" s="73" t="n"/>
      <c r="I578" s="73" t="n"/>
      <c r="J578" s="73" t="n"/>
      <c r="K578" s="73" t="n"/>
      <c r="L578" s="73" t="n"/>
      <c r="M578" s="73" t="n"/>
      <c r="N578" s="73" t="n"/>
      <c r="O578" s="73" t="n"/>
      <c r="P578" s="73" t="n"/>
      <c r="Q578" s="73" t="n"/>
      <c r="R578" s="73" t="n"/>
      <c r="S578" s="73" t="n"/>
      <c r="T578" s="73" t="n"/>
      <c r="U578" s="73" t="n"/>
      <c r="V578" s="73" t="n"/>
      <c r="W578" s="73" t="n"/>
      <c r="X578" s="73" t="n"/>
    </row>
    <row r="579">
      <c r="A579" s="46" t="n"/>
      <c r="B579" s="46" t="n"/>
      <c r="C579" s="46"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row>
    <row r="580">
      <c r="A580" s="73" t="n"/>
      <c r="B580" s="73" t="n"/>
      <c r="C580" s="73" t="n"/>
      <c r="D580" s="73" t="n"/>
      <c r="E580" s="73" t="n"/>
      <c r="F580" s="73" t="n"/>
      <c r="G580" s="73" t="n"/>
      <c r="H580" s="73" t="n"/>
      <c r="I580" s="73" t="n"/>
      <c r="J580" s="73" t="n"/>
      <c r="K580" s="73" t="n"/>
      <c r="L580" s="73" t="n"/>
      <c r="M580" s="73" t="n"/>
      <c r="N580" s="73" t="n"/>
      <c r="O580" s="73" t="n"/>
      <c r="P580" s="73" t="n"/>
      <c r="Q580" s="73" t="n"/>
      <c r="R580" s="73" t="n"/>
      <c r="S580" s="73" t="n"/>
      <c r="T580" s="73" t="n"/>
      <c r="U580" s="73" t="n"/>
      <c r="V580" s="73" t="n"/>
      <c r="W580" s="73" t="n"/>
      <c r="X580" s="73" t="n"/>
    </row>
    <row r="581">
      <c r="A581" s="46" t="n"/>
      <c r="B581" s="46" t="n"/>
      <c r="C581" s="46"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row>
    <row r="582">
      <c r="A582" s="73" t="n"/>
      <c r="B582" s="73" t="n"/>
      <c r="C582" s="73" t="n"/>
      <c r="D582" s="73" t="n"/>
      <c r="E582" s="73" t="n"/>
      <c r="F582" s="73" t="n"/>
      <c r="G582" s="73" t="n"/>
      <c r="H582" s="73" t="n"/>
      <c r="I582" s="73" t="n"/>
      <c r="J582" s="73" t="n"/>
      <c r="K582" s="73" t="n"/>
      <c r="L582" s="73" t="n"/>
      <c r="M582" s="73" t="n"/>
      <c r="N582" s="73" t="n"/>
      <c r="O582" s="73" t="n"/>
      <c r="P582" s="73" t="n"/>
      <c r="Q582" s="73" t="n"/>
      <c r="R582" s="73" t="n"/>
      <c r="S582" s="73" t="n"/>
      <c r="T582" s="73" t="n"/>
      <c r="U582" s="73" t="n"/>
      <c r="V582" s="73" t="n"/>
      <c r="W582" s="73" t="n"/>
      <c r="X582" s="73" t="n"/>
    </row>
    <row r="583">
      <c r="A583" s="46" t="n"/>
      <c r="B583" s="46" t="n"/>
      <c r="C583" s="46"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row>
    <row r="584">
      <c r="A584" s="73" t="n"/>
      <c r="B584" s="73" t="n"/>
      <c r="C584" s="73" t="n"/>
      <c r="D584" s="73" t="n"/>
      <c r="E584" s="73" t="n"/>
      <c r="F584" s="73" t="n"/>
      <c r="G584" s="73" t="n"/>
      <c r="H584" s="73" t="n"/>
      <c r="I584" s="73" t="n"/>
      <c r="J584" s="73" t="n"/>
      <c r="K584" s="73" t="n"/>
      <c r="L584" s="73" t="n"/>
      <c r="M584" s="73" t="n"/>
      <c r="N584" s="73" t="n"/>
      <c r="O584" s="73" t="n"/>
      <c r="P584" s="73" t="n"/>
      <c r="Q584" s="73" t="n"/>
      <c r="R584" s="73" t="n"/>
      <c r="S584" s="73" t="n"/>
      <c r="T584" s="73" t="n"/>
      <c r="U584" s="73" t="n"/>
      <c r="V584" s="73" t="n"/>
      <c r="W584" s="73" t="n"/>
      <c r="X584" s="73" t="n"/>
    </row>
    <row r="585">
      <c r="A585" s="46" t="n"/>
      <c r="B585" s="46" t="n"/>
      <c r="C585" s="46"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row>
    <row r="586">
      <c r="A586" s="73" t="n"/>
      <c r="B586" s="73" t="n"/>
      <c r="C586" s="73" t="n"/>
      <c r="D586" s="73" t="n"/>
      <c r="E586" s="73" t="n"/>
      <c r="F586" s="73" t="n"/>
      <c r="G586" s="73" t="n"/>
      <c r="H586" s="73" t="n"/>
      <c r="I586" s="73" t="n"/>
      <c r="J586" s="73" t="n"/>
      <c r="K586" s="73" t="n"/>
      <c r="L586" s="73" t="n"/>
      <c r="M586" s="73" t="n"/>
      <c r="N586" s="73" t="n"/>
      <c r="O586" s="73" t="n"/>
      <c r="P586" s="73" t="n"/>
      <c r="Q586" s="73" t="n"/>
      <c r="R586" s="73" t="n"/>
      <c r="S586" s="73" t="n"/>
      <c r="T586" s="73" t="n"/>
      <c r="U586" s="73" t="n"/>
      <c r="V586" s="73" t="n"/>
      <c r="W586" s="73" t="n"/>
      <c r="X586" s="73" t="n"/>
    </row>
    <row r="587">
      <c r="A587" s="46" t="n"/>
      <c r="B587" s="46" t="n"/>
      <c r="C587" s="46"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row>
    <row r="588">
      <c r="A588" s="73" t="n"/>
      <c r="B588" s="73" t="n"/>
      <c r="C588" s="73" t="n"/>
      <c r="D588" s="73" t="n"/>
      <c r="E588" s="73" t="n"/>
      <c r="F588" s="73" t="n"/>
      <c r="G588" s="73" t="n"/>
      <c r="H588" s="73" t="n"/>
      <c r="I588" s="73" t="n"/>
      <c r="J588" s="73" t="n"/>
      <c r="K588" s="73" t="n"/>
      <c r="L588" s="73" t="n"/>
      <c r="M588" s="73" t="n"/>
      <c r="N588" s="73" t="n"/>
      <c r="O588" s="73" t="n"/>
      <c r="P588" s="73" t="n"/>
      <c r="Q588" s="73" t="n"/>
      <c r="R588" s="73" t="n"/>
      <c r="S588" s="73" t="n"/>
      <c r="T588" s="73" t="n"/>
      <c r="U588" s="73" t="n"/>
      <c r="V588" s="73" t="n"/>
      <c r="W588" s="73" t="n"/>
      <c r="X588" s="73" t="n"/>
    </row>
    <row r="589">
      <c r="A589" s="46" t="n"/>
      <c r="B589" s="46" t="n"/>
      <c r="C589" s="46"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row>
    <row r="590">
      <c r="A590" s="73" t="n"/>
      <c r="B590" s="73" t="n"/>
      <c r="C590" s="73" t="n"/>
      <c r="D590" s="73" t="n"/>
      <c r="E590" s="73" t="n"/>
      <c r="F590" s="73" t="n"/>
      <c r="G590" s="73" t="n"/>
      <c r="H590" s="73" t="n"/>
      <c r="I590" s="73" t="n"/>
      <c r="J590" s="73" t="n"/>
      <c r="K590" s="73" t="n"/>
      <c r="L590" s="73" t="n"/>
      <c r="M590" s="73" t="n"/>
      <c r="N590" s="73" t="n"/>
      <c r="O590" s="73" t="n"/>
      <c r="P590" s="73" t="n"/>
      <c r="Q590" s="73" t="n"/>
      <c r="R590" s="73" t="n"/>
      <c r="S590" s="73" t="n"/>
      <c r="T590" s="73" t="n"/>
      <c r="U590" s="73" t="n"/>
      <c r="V590" s="73" t="n"/>
      <c r="W590" s="73" t="n"/>
      <c r="X590" s="73" t="n"/>
    </row>
    <row r="591">
      <c r="A591" s="46" t="n"/>
      <c r="B591" s="46" t="n"/>
      <c r="C591" s="46"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row>
    <row r="592">
      <c r="A592" s="73" t="n"/>
      <c r="B592" s="73" t="n"/>
      <c r="C592" s="73" t="n"/>
      <c r="D592" s="73" t="n"/>
      <c r="E592" s="73" t="n"/>
      <c r="F592" s="73" t="n"/>
      <c r="G592" s="73" t="n"/>
      <c r="H592" s="73" t="n"/>
      <c r="I592" s="73" t="n"/>
      <c r="J592" s="73" t="n"/>
      <c r="K592" s="73" t="n"/>
      <c r="L592" s="73" t="n"/>
      <c r="M592" s="73" t="n"/>
      <c r="N592" s="73" t="n"/>
      <c r="O592" s="73" t="n"/>
      <c r="P592" s="73" t="n"/>
      <c r="Q592" s="73" t="n"/>
      <c r="R592" s="73" t="n"/>
      <c r="S592" s="73" t="n"/>
      <c r="T592" s="73" t="n"/>
      <c r="U592" s="73" t="n"/>
      <c r="V592" s="73" t="n"/>
      <c r="W592" s="73" t="n"/>
      <c r="X592" s="73" t="n"/>
    </row>
    <row r="593">
      <c r="A593" s="46" t="n"/>
      <c r="B593" s="46" t="n"/>
      <c r="C593" s="46"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row>
    <row r="594">
      <c r="A594" s="73" t="n"/>
      <c r="B594" s="73" t="n"/>
      <c r="C594" s="73" t="n"/>
      <c r="D594" s="73" t="n"/>
      <c r="E594" s="73" t="n"/>
      <c r="F594" s="73" t="n"/>
      <c r="G594" s="73" t="n"/>
      <c r="H594" s="73" t="n"/>
      <c r="I594" s="73" t="n"/>
      <c r="J594" s="73" t="n"/>
      <c r="K594" s="73" t="n"/>
      <c r="L594" s="73" t="n"/>
      <c r="M594" s="73" t="n"/>
      <c r="N594" s="73" t="n"/>
      <c r="O594" s="73" t="n"/>
      <c r="P594" s="73" t="n"/>
      <c r="Q594" s="73" t="n"/>
      <c r="R594" s="73" t="n"/>
      <c r="S594" s="73" t="n"/>
      <c r="T594" s="73" t="n"/>
      <c r="U594" s="73" t="n"/>
      <c r="V594" s="73" t="n"/>
      <c r="W594" s="73" t="n"/>
      <c r="X594" s="73" t="n"/>
    </row>
    <row r="595">
      <c r="A595" s="46" t="n"/>
      <c r="B595" s="46" t="n"/>
      <c r="C595" s="46"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row>
    <row r="596">
      <c r="A596" s="73" t="n"/>
      <c r="B596" s="73" t="n"/>
      <c r="C596" s="73" t="n"/>
      <c r="D596" s="73" t="n"/>
      <c r="E596" s="73" t="n"/>
      <c r="F596" s="73" t="n"/>
      <c r="G596" s="73" t="n"/>
      <c r="H596" s="73" t="n"/>
      <c r="I596" s="73" t="n"/>
      <c r="J596" s="73" t="n"/>
      <c r="K596" s="73" t="n"/>
      <c r="L596" s="73" t="n"/>
      <c r="M596" s="73" t="n"/>
      <c r="N596" s="73" t="n"/>
      <c r="O596" s="73" t="n"/>
      <c r="P596" s="73" t="n"/>
      <c r="Q596" s="73" t="n"/>
      <c r="R596" s="73" t="n"/>
      <c r="S596" s="73" t="n"/>
      <c r="T596" s="73" t="n"/>
      <c r="U596" s="73" t="n"/>
      <c r="V596" s="73" t="n"/>
      <c r="W596" s="73" t="n"/>
      <c r="X596" s="73" t="n"/>
    </row>
    <row r="597">
      <c r="A597" s="46" t="n"/>
      <c r="B597" s="46" t="n"/>
      <c r="C597" s="46"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row>
    <row r="598">
      <c r="A598" s="73" t="n"/>
      <c r="B598" s="73" t="n"/>
      <c r="C598" s="73" t="n"/>
      <c r="D598" s="73" t="n"/>
      <c r="E598" s="73" t="n"/>
      <c r="F598" s="73" t="n"/>
      <c r="G598" s="73" t="n"/>
      <c r="H598" s="73" t="n"/>
      <c r="I598" s="73" t="n"/>
      <c r="J598" s="73" t="n"/>
      <c r="K598" s="73" t="n"/>
      <c r="L598" s="73" t="n"/>
      <c r="M598" s="73" t="n"/>
      <c r="N598" s="73" t="n"/>
      <c r="O598" s="73" t="n"/>
      <c r="P598" s="73" t="n"/>
      <c r="Q598" s="73" t="n"/>
      <c r="R598" s="73" t="n"/>
      <c r="S598" s="73" t="n"/>
      <c r="T598" s="73" t="n"/>
      <c r="U598" s="73" t="n"/>
      <c r="V598" s="73" t="n"/>
      <c r="W598" s="73" t="n"/>
      <c r="X598" s="73" t="n"/>
    </row>
    <row r="599">
      <c r="A599" s="46" t="n"/>
      <c r="B599" s="46" t="n"/>
      <c r="C599" s="46"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row>
    <row r="600">
      <c r="A600" s="73" t="n"/>
      <c r="B600" s="73" t="n"/>
      <c r="C600" s="73" t="n"/>
      <c r="D600" s="73" t="n"/>
      <c r="E600" s="73" t="n"/>
      <c r="F600" s="73" t="n"/>
      <c r="G600" s="73" t="n"/>
      <c r="H600" s="73" t="n"/>
      <c r="I600" s="73" t="n"/>
      <c r="J600" s="73" t="n"/>
      <c r="K600" s="73" t="n"/>
      <c r="L600" s="73" t="n"/>
      <c r="M600" s="73" t="n"/>
      <c r="N600" s="73" t="n"/>
      <c r="O600" s="73" t="n"/>
      <c r="P600" s="73" t="n"/>
      <c r="Q600" s="73" t="n"/>
      <c r="R600" s="73" t="n"/>
      <c r="S600" s="73" t="n"/>
      <c r="T600" s="73" t="n"/>
      <c r="U600" s="73" t="n"/>
      <c r="V600" s="73" t="n"/>
      <c r="W600" s="73" t="n"/>
      <c r="X600" s="73" t="n"/>
    </row>
    <row r="601">
      <c r="A601" s="46" t="n"/>
      <c r="B601" s="46" t="n"/>
      <c r="C601" s="46"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row>
    <row r="602">
      <c r="A602" s="73" t="n"/>
      <c r="B602" s="73" t="n"/>
      <c r="C602" s="73" t="n"/>
      <c r="D602" s="73" t="n"/>
      <c r="E602" s="73" t="n"/>
      <c r="F602" s="73" t="n"/>
      <c r="G602" s="73" t="n"/>
      <c r="H602" s="73" t="n"/>
      <c r="I602" s="73" t="n"/>
      <c r="J602" s="73" t="n"/>
      <c r="K602" s="73" t="n"/>
      <c r="L602" s="73" t="n"/>
      <c r="M602" s="73" t="n"/>
      <c r="N602" s="73" t="n"/>
      <c r="O602" s="73" t="n"/>
      <c r="P602" s="73" t="n"/>
      <c r="Q602" s="73" t="n"/>
      <c r="R602" s="73" t="n"/>
      <c r="S602" s="73" t="n"/>
      <c r="T602" s="73" t="n"/>
      <c r="U602" s="73" t="n"/>
      <c r="V602" s="73" t="n"/>
      <c r="W602" s="73" t="n"/>
      <c r="X602" s="73" t="n"/>
    </row>
    <row r="603">
      <c r="A603" s="46" t="n"/>
      <c r="B603" s="46" t="n"/>
      <c r="C603" s="46"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row>
    <row r="604">
      <c r="A604" s="73" t="n"/>
      <c r="B604" s="73" t="n"/>
      <c r="C604" s="73" t="n"/>
      <c r="D604" s="73" t="n"/>
      <c r="E604" s="73" t="n"/>
      <c r="F604" s="73" t="n"/>
      <c r="G604" s="73" t="n"/>
      <c r="H604" s="73" t="n"/>
      <c r="I604" s="73" t="n"/>
      <c r="J604" s="73" t="n"/>
      <c r="K604" s="73" t="n"/>
      <c r="L604" s="73" t="n"/>
      <c r="M604" s="73" t="n"/>
      <c r="N604" s="73" t="n"/>
      <c r="O604" s="73" t="n"/>
      <c r="P604" s="73" t="n"/>
      <c r="Q604" s="73" t="n"/>
      <c r="R604" s="73" t="n"/>
      <c r="S604" s="73" t="n"/>
      <c r="T604" s="73" t="n"/>
      <c r="U604" s="73" t="n"/>
      <c r="V604" s="73" t="n"/>
      <c r="W604" s="73" t="n"/>
      <c r="X604" s="73" t="n"/>
    </row>
    <row r="605">
      <c r="A605" s="46" t="n"/>
      <c r="B605" s="46" t="n"/>
      <c r="C605" s="46"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row>
    <row r="606">
      <c r="A606" s="73" t="n"/>
      <c r="B606" s="73" t="n"/>
      <c r="C606" s="73" t="n"/>
      <c r="D606" s="73" t="n"/>
      <c r="E606" s="73" t="n"/>
      <c r="F606" s="73" t="n"/>
      <c r="G606" s="73" t="n"/>
      <c r="H606" s="73" t="n"/>
      <c r="I606" s="73" t="n"/>
      <c r="J606" s="73" t="n"/>
      <c r="K606" s="73" t="n"/>
      <c r="L606" s="73" t="n"/>
      <c r="M606" s="73" t="n"/>
      <c r="N606" s="73" t="n"/>
      <c r="O606" s="73" t="n"/>
      <c r="P606" s="73" t="n"/>
      <c r="Q606" s="73" t="n"/>
      <c r="R606" s="73" t="n"/>
      <c r="S606" s="73" t="n"/>
      <c r="T606" s="73" t="n"/>
      <c r="U606" s="73" t="n"/>
      <c r="V606" s="73" t="n"/>
      <c r="W606" s="73" t="n"/>
      <c r="X606" s="73" t="n"/>
    </row>
    <row r="607">
      <c r="A607" s="46" t="n"/>
      <c r="B607" s="46" t="n"/>
      <c r="C607" s="46"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row>
    <row r="608">
      <c r="A608" s="73" t="n"/>
      <c r="B608" s="73" t="n"/>
      <c r="C608" s="73" t="n"/>
      <c r="D608" s="73" t="n"/>
      <c r="E608" s="73" t="n"/>
      <c r="F608" s="73" t="n"/>
      <c r="G608" s="73" t="n"/>
      <c r="H608" s="73" t="n"/>
      <c r="I608" s="73" t="n"/>
      <c r="J608" s="73" t="n"/>
      <c r="K608" s="73" t="n"/>
      <c r="L608" s="73" t="n"/>
      <c r="M608" s="73" t="n"/>
      <c r="N608" s="73" t="n"/>
      <c r="O608" s="73" t="n"/>
      <c r="P608" s="73" t="n"/>
      <c r="Q608" s="73" t="n"/>
      <c r="R608" s="73" t="n"/>
      <c r="S608" s="73" t="n"/>
      <c r="T608" s="73" t="n"/>
      <c r="U608" s="73" t="n"/>
      <c r="V608" s="73" t="n"/>
      <c r="W608" s="73" t="n"/>
      <c r="X608" s="73" t="n"/>
    </row>
    <row r="609">
      <c r="A609" s="46" t="n"/>
      <c r="B609" s="46" t="n"/>
      <c r="C609" s="46"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row>
    <row r="610">
      <c r="A610" s="73" t="n"/>
      <c r="B610" s="73" t="n"/>
      <c r="C610" s="73" t="n"/>
      <c r="D610" s="73" t="n"/>
      <c r="E610" s="73" t="n"/>
      <c r="F610" s="73" t="n"/>
      <c r="G610" s="73" t="n"/>
      <c r="H610" s="73" t="n"/>
      <c r="I610" s="73" t="n"/>
      <c r="J610" s="73" t="n"/>
      <c r="K610" s="73" t="n"/>
      <c r="L610" s="73" t="n"/>
      <c r="M610" s="73" t="n"/>
      <c r="N610" s="73" t="n"/>
      <c r="O610" s="73" t="n"/>
      <c r="P610" s="73" t="n"/>
      <c r="Q610" s="73" t="n"/>
      <c r="R610" s="73" t="n"/>
      <c r="S610" s="73" t="n"/>
      <c r="T610" s="73" t="n"/>
      <c r="U610" s="73" t="n"/>
      <c r="V610" s="73" t="n"/>
      <c r="W610" s="73" t="n"/>
      <c r="X610" s="73" t="n"/>
    </row>
    <row r="611">
      <c r="A611" s="46" t="n"/>
      <c r="B611" s="46" t="n"/>
      <c r="C611" s="46"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row>
    <row r="612">
      <c r="A612" s="73" t="n"/>
      <c r="B612" s="73" t="n"/>
      <c r="C612" s="73" t="n"/>
      <c r="D612" s="73" t="n"/>
      <c r="E612" s="73" t="n"/>
      <c r="F612" s="73" t="n"/>
      <c r="G612" s="73" t="n"/>
      <c r="H612" s="73" t="n"/>
      <c r="I612" s="73" t="n"/>
      <c r="J612" s="73" t="n"/>
      <c r="K612" s="73" t="n"/>
      <c r="L612" s="73" t="n"/>
      <c r="M612" s="73" t="n"/>
      <c r="N612" s="73" t="n"/>
      <c r="O612" s="73" t="n"/>
      <c r="P612" s="73" t="n"/>
      <c r="Q612" s="73" t="n"/>
      <c r="R612" s="73" t="n"/>
      <c r="S612" s="73" t="n"/>
      <c r="T612" s="73" t="n"/>
      <c r="U612" s="73" t="n"/>
      <c r="V612" s="73" t="n"/>
      <c r="W612" s="73" t="n"/>
      <c r="X612" s="73" t="n"/>
    </row>
    <row r="613">
      <c r="A613" s="46" t="n"/>
      <c r="B613" s="46" t="n"/>
      <c r="C613" s="46"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row>
    <row r="614">
      <c r="A614" s="73" t="n"/>
      <c r="B614" s="73" t="n"/>
      <c r="C614" s="73" t="n"/>
      <c r="D614" s="73" t="n"/>
      <c r="E614" s="73" t="n"/>
      <c r="F614" s="73" t="n"/>
      <c r="G614" s="73" t="n"/>
      <c r="H614" s="73" t="n"/>
      <c r="I614" s="73" t="n"/>
      <c r="J614" s="73" t="n"/>
      <c r="K614" s="73" t="n"/>
      <c r="L614" s="73" t="n"/>
      <c r="M614" s="73" t="n"/>
      <c r="N614" s="73" t="n"/>
      <c r="O614" s="73" t="n"/>
      <c r="P614" s="73" t="n"/>
      <c r="Q614" s="73" t="n"/>
      <c r="R614" s="73" t="n"/>
      <c r="S614" s="73" t="n"/>
      <c r="T614" s="73" t="n"/>
      <c r="U614" s="73" t="n"/>
      <c r="V614" s="73" t="n"/>
      <c r="W614" s="73" t="n"/>
      <c r="X614" s="73" t="n"/>
    </row>
    <row r="615">
      <c r="A615" s="46" t="n"/>
      <c r="B615" s="46" t="n"/>
      <c r="C615" s="46"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row>
    <row r="616">
      <c r="A616" s="73" t="n"/>
      <c r="B616" s="73" t="n"/>
      <c r="C616" s="73" t="n"/>
      <c r="D616" s="73" t="n"/>
      <c r="E616" s="73" t="n"/>
      <c r="F616" s="73" t="n"/>
      <c r="G616" s="73" t="n"/>
      <c r="H616" s="73" t="n"/>
      <c r="I616" s="73" t="n"/>
      <c r="J616" s="73" t="n"/>
      <c r="K616" s="73" t="n"/>
      <c r="L616" s="73" t="n"/>
      <c r="M616" s="73" t="n"/>
      <c r="N616" s="73" t="n"/>
      <c r="O616" s="73" t="n"/>
      <c r="P616" s="73" t="n"/>
      <c r="Q616" s="73" t="n"/>
      <c r="R616" s="73" t="n"/>
      <c r="S616" s="73" t="n"/>
      <c r="T616" s="73" t="n"/>
      <c r="U616" s="73" t="n"/>
      <c r="V616" s="73" t="n"/>
      <c r="W616" s="73" t="n"/>
      <c r="X616" s="73" t="n"/>
    </row>
    <row r="617">
      <c r="A617" s="46" t="n"/>
      <c r="B617" s="46" t="n"/>
      <c r="C617" s="46"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row>
    <row r="618">
      <c r="A618" s="73" t="n"/>
      <c r="B618" s="73" t="n"/>
      <c r="C618" s="73" t="n"/>
      <c r="D618" s="73" t="n"/>
      <c r="E618" s="73" t="n"/>
      <c r="F618" s="73" t="n"/>
      <c r="G618" s="73" t="n"/>
      <c r="H618" s="73" t="n"/>
      <c r="I618" s="73" t="n"/>
      <c r="J618" s="73" t="n"/>
      <c r="K618" s="73" t="n"/>
      <c r="L618" s="73" t="n"/>
      <c r="M618" s="73" t="n"/>
      <c r="N618" s="73" t="n"/>
      <c r="O618" s="73" t="n"/>
      <c r="P618" s="73" t="n"/>
      <c r="Q618" s="73" t="n"/>
      <c r="R618" s="73" t="n"/>
      <c r="S618" s="73" t="n"/>
      <c r="T618" s="73" t="n"/>
      <c r="U618" s="73" t="n"/>
      <c r="V618" s="73" t="n"/>
      <c r="W618" s="73" t="n"/>
      <c r="X618" s="73" t="n"/>
    </row>
    <row r="619">
      <c r="A619" s="46" t="n"/>
      <c r="B619" s="46" t="n"/>
      <c r="C619" s="46"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row>
    <row r="620">
      <c r="A620" s="73" t="n"/>
      <c r="B620" s="73" t="n"/>
      <c r="C620" s="73" t="n"/>
      <c r="D620" s="73" t="n"/>
      <c r="E620" s="73" t="n"/>
      <c r="F620" s="73" t="n"/>
      <c r="G620" s="73" t="n"/>
      <c r="H620" s="73" t="n"/>
      <c r="I620" s="73" t="n"/>
      <c r="J620" s="73" t="n"/>
      <c r="K620" s="73" t="n"/>
      <c r="L620" s="73" t="n"/>
      <c r="M620" s="73" t="n"/>
      <c r="N620" s="73" t="n"/>
      <c r="O620" s="73" t="n"/>
      <c r="P620" s="73" t="n"/>
      <c r="Q620" s="73" t="n"/>
      <c r="R620" s="73" t="n"/>
      <c r="S620" s="73" t="n"/>
      <c r="T620" s="73" t="n"/>
      <c r="U620" s="73" t="n"/>
      <c r="V620" s="73" t="n"/>
      <c r="W620" s="73" t="n"/>
      <c r="X620" s="73" t="n"/>
    </row>
    <row r="621">
      <c r="A621" s="46" t="n"/>
      <c r="B621" s="46" t="n"/>
      <c r="C621" s="46"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row>
    <row r="622">
      <c r="A622" s="73" t="n"/>
      <c r="B622" s="73" t="n"/>
      <c r="C622" s="73" t="n"/>
      <c r="D622" s="73" t="n"/>
      <c r="E622" s="73" t="n"/>
      <c r="F622" s="73" t="n"/>
      <c r="G622" s="73" t="n"/>
      <c r="H622" s="73" t="n"/>
      <c r="I622" s="73" t="n"/>
      <c r="J622" s="73" t="n"/>
      <c r="K622" s="73" t="n"/>
      <c r="L622" s="73" t="n"/>
      <c r="M622" s="73" t="n"/>
      <c r="N622" s="73" t="n"/>
      <c r="O622" s="73" t="n"/>
      <c r="P622" s="73" t="n"/>
      <c r="Q622" s="73" t="n"/>
      <c r="R622" s="73" t="n"/>
      <c r="S622" s="73" t="n"/>
      <c r="T622" s="73" t="n"/>
      <c r="U622" s="73" t="n"/>
      <c r="V622" s="73" t="n"/>
      <c r="W622" s="73" t="n"/>
      <c r="X622" s="73" t="n"/>
    </row>
    <row r="623">
      <c r="A623" s="46" t="n"/>
      <c r="B623" s="46" t="n"/>
      <c r="C623" s="46"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row>
    <row r="624">
      <c r="A624" s="73" t="n"/>
      <c r="B624" s="73" t="n"/>
      <c r="C624" s="73" t="n"/>
      <c r="D624" s="73" t="n"/>
      <c r="E624" s="73" t="n"/>
      <c r="F624" s="73" t="n"/>
      <c r="G624" s="73" t="n"/>
      <c r="H624" s="73" t="n"/>
      <c r="I624" s="73" t="n"/>
      <c r="J624" s="73" t="n"/>
      <c r="K624" s="73" t="n"/>
      <c r="L624" s="73" t="n"/>
      <c r="M624" s="73" t="n"/>
      <c r="N624" s="73" t="n"/>
      <c r="O624" s="73" t="n"/>
      <c r="P624" s="73" t="n"/>
      <c r="Q624" s="73" t="n"/>
      <c r="R624" s="73" t="n"/>
      <c r="S624" s="73" t="n"/>
      <c r="T624" s="73" t="n"/>
      <c r="U624" s="73" t="n"/>
      <c r="V624" s="73" t="n"/>
      <c r="W624" s="73" t="n"/>
      <c r="X624" s="73" t="n"/>
    </row>
    <row r="625">
      <c r="A625" s="46" t="n"/>
      <c r="B625" s="46" t="n"/>
      <c r="C625" s="46"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row>
    <row r="626">
      <c r="A626" s="73" t="n"/>
      <c r="B626" s="73" t="n"/>
      <c r="C626" s="73" t="n"/>
      <c r="D626" s="73" t="n"/>
      <c r="E626" s="73" t="n"/>
      <c r="F626" s="73" t="n"/>
      <c r="G626" s="73" t="n"/>
      <c r="H626" s="73" t="n"/>
      <c r="I626" s="73" t="n"/>
      <c r="J626" s="73" t="n"/>
      <c r="K626" s="73" t="n"/>
      <c r="L626" s="73" t="n"/>
      <c r="M626" s="73" t="n"/>
      <c r="N626" s="73" t="n"/>
      <c r="O626" s="73" t="n"/>
      <c r="P626" s="73" t="n"/>
      <c r="Q626" s="73" t="n"/>
      <c r="R626" s="73" t="n"/>
      <c r="S626" s="73" t="n"/>
      <c r="T626" s="73" t="n"/>
      <c r="U626" s="73" t="n"/>
      <c r="V626" s="73" t="n"/>
      <c r="W626" s="73" t="n"/>
      <c r="X626" s="73" t="n"/>
    </row>
    <row r="627">
      <c r="A627" s="46" t="n"/>
      <c r="B627" s="46" t="n"/>
      <c r="C627" s="46"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row>
    <row r="628">
      <c r="A628" s="73" t="n"/>
      <c r="B628" s="73" t="n"/>
      <c r="C628" s="73" t="n"/>
      <c r="D628" s="73" t="n"/>
      <c r="E628" s="73" t="n"/>
      <c r="F628" s="73" t="n"/>
      <c r="G628" s="73" t="n"/>
      <c r="H628" s="73" t="n"/>
      <c r="I628" s="73" t="n"/>
      <c r="J628" s="73" t="n"/>
      <c r="K628" s="73" t="n"/>
      <c r="L628" s="73" t="n"/>
      <c r="M628" s="73" t="n"/>
      <c r="N628" s="73" t="n"/>
      <c r="O628" s="73" t="n"/>
      <c r="P628" s="73" t="n"/>
      <c r="Q628" s="73" t="n"/>
      <c r="R628" s="73" t="n"/>
      <c r="S628" s="73" t="n"/>
      <c r="T628" s="73" t="n"/>
      <c r="U628" s="73" t="n"/>
      <c r="V628" s="73" t="n"/>
      <c r="W628" s="73" t="n"/>
      <c r="X628" s="73" t="n"/>
    </row>
    <row r="629">
      <c r="A629" s="46" t="n"/>
      <c r="B629" s="46" t="n"/>
      <c r="C629" s="46"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row>
    <row r="630">
      <c r="A630" s="73" t="n"/>
      <c r="B630" s="73" t="n"/>
      <c r="C630" s="73" t="n"/>
      <c r="D630" s="73" t="n"/>
      <c r="E630" s="73" t="n"/>
      <c r="F630" s="73" t="n"/>
      <c r="G630" s="73" t="n"/>
      <c r="H630" s="73" t="n"/>
      <c r="I630" s="73" t="n"/>
      <c r="J630" s="73" t="n"/>
      <c r="K630" s="73" t="n"/>
      <c r="L630" s="73" t="n"/>
      <c r="M630" s="73" t="n"/>
      <c r="N630" s="73" t="n"/>
      <c r="O630" s="73" t="n"/>
      <c r="P630" s="73" t="n"/>
      <c r="Q630" s="73" t="n"/>
      <c r="R630" s="73" t="n"/>
      <c r="S630" s="73" t="n"/>
      <c r="T630" s="73" t="n"/>
      <c r="U630" s="73" t="n"/>
      <c r="V630" s="73" t="n"/>
      <c r="W630" s="73" t="n"/>
      <c r="X630" s="73" t="n"/>
    </row>
    <row r="631">
      <c r="A631" s="46" t="n"/>
      <c r="B631" s="46" t="n"/>
      <c r="C631" s="46"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row>
    <row r="632">
      <c r="A632" s="73" t="n"/>
      <c r="B632" s="73" t="n"/>
      <c r="C632" s="73" t="n"/>
      <c r="D632" s="73" t="n"/>
      <c r="E632" s="73" t="n"/>
      <c r="F632" s="73" t="n"/>
      <c r="G632" s="73" t="n"/>
      <c r="H632" s="73" t="n"/>
      <c r="I632" s="73" t="n"/>
      <c r="J632" s="73" t="n"/>
      <c r="K632" s="73" t="n"/>
      <c r="L632" s="73" t="n"/>
      <c r="M632" s="73" t="n"/>
      <c r="N632" s="73" t="n"/>
      <c r="O632" s="73" t="n"/>
      <c r="P632" s="73" t="n"/>
      <c r="Q632" s="73" t="n"/>
      <c r="R632" s="73" t="n"/>
      <c r="S632" s="73" t="n"/>
      <c r="T632" s="73" t="n"/>
      <c r="U632" s="73" t="n"/>
      <c r="V632" s="73" t="n"/>
      <c r="W632" s="73" t="n"/>
      <c r="X632" s="73" t="n"/>
    </row>
    <row r="633">
      <c r="A633" s="46" t="n"/>
      <c r="B633" s="46" t="n"/>
      <c r="C633" s="46"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row>
    <row r="634">
      <c r="A634" s="73" t="n"/>
      <c r="B634" s="73" t="n"/>
      <c r="C634" s="73" t="n"/>
      <c r="D634" s="73" t="n"/>
      <c r="E634" s="73" t="n"/>
      <c r="F634" s="73" t="n"/>
      <c r="G634" s="73" t="n"/>
      <c r="H634" s="73" t="n"/>
      <c r="I634" s="73" t="n"/>
      <c r="J634" s="73" t="n"/>
      <c r="K634" s="73" t="n"/>
      <c r="L634" s="73" t="n"/>
      <c r="M634" s="73" t="n"/>
      <c r="N634" s="73" t="n"/>
      <c r="O634" s="73" t="n"/>
      <c r="P634" s="73" t="n"/>
      <c r="Q634" s="73" t="n"/>
      <c r="R634" s="73" t="n"/>
      <c r="S634" s="73" t="n"/>
      <c r="T634" s="73" t="n"/>
      <c r="U634" s="73" t="n"/>
      <c r="V634" s="73" t="n"/>
      <c r="W634" s="73" t="n"/>
      <c r="X634" s="73" t="n"/>
    </row>
    <row r="635">
      <c r="A635" s="46" t="n"/>
      <c r="B635" s="46" t="n"/>
      <c r="C635" s="46"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row>
    <row r="636">
      <c r="A636" s="73" t="n"/>
      <c r="B636" s="73" t="n"/>
      <c r="C636" s="73" t="n"/>
      <c r="D636" s="73" t="n"/>
      <c r="E636" s="73" t="n"/>
      <c r="F636" s="73" t="n"/>
      <c r="G636" s="73" t="n"/>
      <c r="H636" s="73" t="n"/>
      <c r="I636" s="73" t="n"/>
      <c r="J636" s="73" t="n"/>
      <c r="K636" s="73" t="n"/>
      <c r="L636" s="73" t="n"/>
      <c r="M636" s="73" t="n"/>
      <c r="N636" s="73" t="n"/>
      <c r="O636" s="73" t="n"/>
      <c r="P636" s="73" t="n"/>
      <c r="Q636" s="73" t="n"/>
      <c r="R636" s="73" t="n"/>
      <c r="S636" s="73" t="n"/>
      <c r="T636" s="73" t="n"/>
      <c r="U636" s="73" t="n"/>
      <c r="V636" s="73" t="n"/>
      <c r="W636" s="73" t="n"/>
      <c r="X636" s="73" t="n"/>
    </row>
    <row r="637">
      <c r="A637" s="46" t="n"/>
      <c r="B637" s="46" t="n"/>
      <c r="C637" s="46"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row>
    <row r="638">
      <c r="A638" s="73" t="n"/>
      <c r="B638" s="73" t="n"/>
      <c r="C638" s="73" t="n"/>
      <c r="D638" s="73" t="n"/>
      <c r="E638" s="73" t="n"/>
      <c r="F638" s="73" t="n"/>
      <c r="G638" s="73" t="n"/>
      <c r="H638" s="73" t="n"/>
      <c r="I638" s="73" t="n"/>
      <c r="J638" s="73" t="n"/>
      <c r="K638" s="73" t="n"/>
      <c r="L638" s="73" t="n"/>
      <c r="M638" s="73" t="n"/>
      <c r="N638" s="73" t="n"/>
      <c r="O638" s="73" t="n"/>
      <c r="P638" s="73" t="n"/>
      <c r="Q638" s="73" t="n"/>
      <c r="R638" s="73" t="n"/>
      <c r="S638" s="73" t="n"/>
      <c r="T638" s="73" t="n"/>
      <c r="U638" s="73" t="n"/>
      <c r="V638" s="73" t="n"/>
      <c r="W638" s="73" t="n"/>
      <c r="X638" s="73" t="n"/>
    </row>
    <row r="639">
      <c r="A639" s="46" t="n"/>
      <c r="B639" s="46" t="n"/>
      <c r="C639" s="46"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row>
    <row r="640">
      <c r="A640" s="73" t="n"/>
      <c r="B640" s="73" t="n"/>
      <c r="C640" s="73" t="n"/>
      <c r="D640" s="73" t="n"/>
      <c r="E640" s="73" t="n"/>
      <c r="F640" s="73" t="n"/>
      <c r="G640" s="73" t="n"/>
      <c r="H640" s="73" t="n"/>
      <c r="I640" s="73" t="n"/>
      <c r="J640" s="73" t="n"/>
      <c r="K640" s="73" t="n"/>
      <c r="L640" s="73" t="n"/>
      <c r="M640" s="73" t="n"/>
      <c r="N640" s="73" t="n"/>
      <c r="O640" s="73" t="n"/>
      <c r="P640" s="73" t="n"/>
      <c r="Q640" s="73" t="n"/>
      <c r="R640" s="73" t="n"/>
      <c r="S640" s="73" t="n"/>
      <c r="T640" s="73" t="n"/>
      <c r="U640" s="73" t="n"/>
      <c r="V640" s="73" t="n"/>
      <c r="W640" s="73" t="n"/>
      <c r="X640" s="73" t="n"/>
    </row>
    <row r="641">
      <c r="A641" s="46" t="n"/>
      <c r="B641" s="46" t="n"/>
      <c r="C641" s="46"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row>
    <row r="642">
      <c r="A642" s="73" t="n"/>
      <c r="B642" s="73" t="n"/>
      <c r="C642" s="73" t="n"/>
      <c r="D642" s="73" t="n"/>
      <c r="E642" s="73" t="n"/>
      <c r="F642" s="73" t="n"/>
      <c r="G642" s="73" t="n"/>
      <c r="H642" s="73" t="n"/>
      <c r="I642" s="73" t="n"/>
      <c r="J642" s="73" t="n"/>
      <c r="K642" s="73" t="n"/>
      <c r="L642" s="73" t="n"/>
      <c r="M642" s="73" t="n"/>
      <c r="N642" s="73" t="n"/>
      <c r="O642" s="73" t="n"/>
      <c r="P642" s="73" t="n"/>
      <c r="Q642" s="73" t="n"/>
      <c r="R642" s="73" t="n"/>
      <c r="S642" s="73" t="n"/>
      <c r="T642" s="73" t="n"/>
      <c r="U642" s="73" t="n"/>
      <c r="V642" s="73" t="n"/>
      <c r="W642" s="73" t="n"/>
      <c r="X642" s="73" t="n"/>
    </row>
    <row r="643">
      <c r="A643" s="46" t="n"/>
      <c r="B643" s="46" t="n"/>
      <c r="C643" s="46"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row>
    <row r="644">
      <c r="A644" s="73" t="n"/>
      <c r="B644" s="73" t="n"/>
      <c r="C644" s="73" t="n"/>
      <c r="D644" s="73" t="n"/>
      <c r="E644" s="73" t="n"/>
      <c r="F644" s="73" t="n"/>
      <c r="G644" s="73" t="n"/>
      <c r="H644" s="73" t="n"/>
      <c r="I644" s="73" t="n"/>
      <c r="J644" s="73" t="n"/>
      <c r="K644" s="73" t="n"/>
      <c r="L644" s="73" t="n"/>
      <c r="M644" s="73" t="n"/>
      <c r="N644" s="73" t="n"/>
      <c r="O644" s="73" t="n"/>
      <c r="P644" s="73" t="n"/>
      <c r="Q644" s="73" t="n"/>
      <c r="R644" s="73" t="n"/>
      <c r="S644" s="73" t="n"/>
      <c r="T644" s="73" t="n"/>
      <c r="U644" s="73" t="n"/>
      <c r="V644" s="73" t="n"/>
      <c r="W644" s="73" t="n"/>
      <c r="X644" s="73" t="n"/>
    </row>
    <row r="645">
      <c r="A645" s="46" t="n"/>
      <c r="B645" s="46" t="n"/>
      <c r="C645" s="46"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row>
    <row r="646">
      <c r="A646" s="73" t="n"/>
      <c r="B646" s="73" t="n"/>
      <c r="C646" s="73" t="n"/>
      <c r="D646" s="73" t="n"/>
      <c r="E646" s="73" t="n"/>
      <c r="F646" s="73" t="n"/>
      <c r="G646" s="73" t="n"/>
      <c r="H646" s="73" t="n"/>
      <c r="I646" s="73" t="n"/>
      <c r="J646" s="73" t="n"/>
      <c r="K646" s="73" t="n"/>
      <c r="L646" s="73" t="n"/>
      <c r="M646" s="73" t="n"/>
      <c r="N646" s="73" t="n"/>
      <c r="O646" s="73" t="n"/>
      <c r="P646" s="73" t="n"/>
      <c r="Q646" s="73" t="n"/>
      <c r="R646" s="73" t="n"/>
      <c r="S646" s="73" t="n"/>
      <c r="T646" s="73" t="n"/>
      <c r="U646" s="73" t="n"/>
      <c r="V646" s="73" t="n"/>
      <c r="W646" s="73" t="n"/>
      <c r="X646" s="73" t="n"/>
    </row>
    <row r="647">
      <c r="A647" s="46" t="n"/>
      <c r="B647" s="46" t="n"/>
      <c r="C647" s="46"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row>
    <row r="648">
      <c r="A648" s="73" t="n"/>
      <c r="B648" s="73" t="n"/>
      <c r="C648" s="73" t="n"/>
      <c r="D648" s="73" t="n"/>
      <c r="E648" s="73" t="n"/>
      <c r="F648" s="73" t="n"/>
      <c r="G648" s="73" t="n"/>
      <c r="H648" s="73" t="n"/>
      <c r="I648" s="73" t="n"/>
      <c r="J648" s="73" t="n"/>
      <c r="K648" s="73" t="n"/>
      <c r="L648" s="73" t="n"/>
      <c r="M648" s="73" t="n"/>
      <c r="N648" s="73" t="n"/>
      <c r="O648" s="73" t="n"/>
      <c r="P648" s="73" t="n"/>
      <c r="Q648" s="73" t="n"/>
      <c r="R648" s="73" t="n"/>
      <c r="S648" s="73" t="n"/>
      <c r="T648" s="73" t="n"/>
      <c r="U648" s="73" t="n"/>
      <c r="V648" s="73" t="n"/>
      <c r="W648" s="73" t="n"/>
      <c r="X648" s="73" t="n"/>
    </row>
    <row r="649">
      <c r="A649" s="46" t="n"/>
      <c r="B649" s="46" t="n"/>
      <c r="C649" s="46"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row>
    <row r="650">
      <c r="A650" s="73" t="n"/>
      <c r="B650" s="73" t="n"/>
      <c r="C650" s="73" t="n"/>
      <c r="D650" s="73" t="n"/>
      <c r="E650" s="73" t="n"/>
      <c r="F650" s="73" t="n"/>
      <c r="G650" s="73" t="n"/>
      <c r="H650" s="73" t="n"/>
      <c r="I650" s="73" t="n"/>
      <c r="J650" s="73" t="n"/>
      <c r="K650" s="73" t="n"/>
      <c r="L650" s="73" t="n"/>
      <c r="M650" s="73" t="n"/>
      <c r="N650" s="73" t="n"/>
      <c r="O650" s="73" t="n"/>
      <c r="P650" s="73" t="n"/>
      <c r="Q650" s="73" t="n"/>
      <c r="R650" s="73" t="n"/>
      <c r="S650" s="73" t="n"/>
      <c r="T650" s="73" t="n"/>
      <c r="U650" s="73" t="n"/>
      <c r="V650" s="73" t="n"/>
      <c r="W650" s="73" t="n"/>
      <c r="X650" s="73" t="n"/>
    </row>
    <row r="651">
      <c r="A651" s="46" t="n"/>
      <c r="B651" s="46" t="n"/>
      <c r="C651" s="46"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row>
    <row r="652">
      <c r="A652" s="73" t="n"/>
      <c r="B652" s="73" t="n"/>
      <c r="C652" s="73" t="n"/>
      <c r="D652" s="73" t="n"/>
      <c r="E652" s="73" t="n"/>
      <c r="F652" s="73" t="n"/>
      <c r="G652" s="73" t="n"/>
      <c r="H652" s="73" t="n"/>
      <c r="I652" s="73" t="n"/>
      <c r="J652" s="73" t="n"/>
      <c r="K652" s="73" t="n"/>
      <c r="L652" s="73" t="n"/>
      <c r="M652" s="73" t="n"/>
      <c r="N652" s="73" t="n"/>
      <c r="O652" s="73" t="n"/>
      <c r="P652" s="73" t="n"/>
      <c r="Q652" s="73" t="n"/>
      <c r="R652" s="73" t="n"/>
      <c r="S652" s="73" t="n"/>
      <c r="T652" s="73" t="n"/>
      <c r="U652" s="73" t="n"/>
      <c r="V652" s="73" t="n"/>
      <c r="W652" s="73" t="n"/>
      <c r="X652" s="73" t="n"/>
    </row>
    <row r="653">
      <c r="A653" s="46" t="n"/>
      <c r="B653" s="46" t="n"/>
      <c r="C653" s="46"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row>
    <row r="654">
      <c r="A654" s="73" t="n"/>
      <c r="B654" s="73" t="n"/>
      <c r="C654" s="73" t="n"/>
      <c r="D654" s="73" t="n"/>
      <c r="E654" s="73" t="n"/>
      <c r="F654" s="73" t="n"/>
      <c r="G654" s="73" t="n"/>
      <c r="H654" s="73" t="n"/>
      <c r="I654" s="73" t="n"/>
      <c r="J654" s="73" t="n"/>
      <c r="K654" s="73" t="n"/>
      <c r="L654" s="73" t="n"/>
      <c r="M654" s="73" t="n"/>
      <c r="N654" s="73" t="n"/>
      <c r="O654" s="73" t="n"/>
      <c r="P654" s="73" t="n"/>
      <c r="Q654" s="73" t="n"/>
      <c r="R654" s="73" t="n"/>
      <c r="S654" s="73" t="n"/>
      <c r="T654" s="73" t="n"/>
      <c r="U654" s="73" t="n"/>
      <c r="V654" s="73" t="n"/>
      <c r="W654" s="73" t="n"/>
      <c r="X654" s="73" t="n"/>
    </row>
    <row r="655">
      <c r="A655" s="46" t="n"/>
      <c r="B655" s="46" t="n"/>
      <c r="C655" s="46"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row>
    <row r="656">
      <c r="A656" s="73" t="n"/>
      <c r="B656" s="73" t="n"/>
      <c r="C656" s="73" t="n"/>
      <c r="D656" s="73" t="n"/>
      <c r="E656" s="73" t="n"/>
      <c r="F656" s="73" t="n"/>
      <c r="G656" s="73" t="n"/>
      <c r="H656" s="73" t="n"/>
      <c r="I656" s="73" t="n"/>
      <c r="J656" s="73" t="n"/>
      <c r="K656" s="73" t="n"/>
      <c r="L656" s="73" t="n"/>
      <c r="M656" s="73" t="n"/>
      <c r="N656" s="73" t="n"/>
      <c r="O656" s="73" t="n"/>
      <c r="P656" s="73" t="n"/>
      <c r="Q656" s="73" t="n"/>
      <c r="R656" s="73" t="n"/>
      <c r="S656" s="73" t="n"/>
      <c r="T656" s="73" t="n"/>
      <c r="U656" s="73" t="n"/>
      <c r="V656" s="73" t="n"/>
      <c r="W656" s="73" t="n"/>
      <c r="X656" s="73" t="n"/>
    </row>
    <row r="657">
      <c r="A657" s="46" t="n"/>
      <c r="B657" s="46" t="n"/>
      <c r="C657" s="46"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row>
    <row r="658">
      <c r="A658" s="73" t="n"/>
      <c r="B658" s="73" t="n"/>
      <c r="C658" s="73" t="n"/>
      <c r="D658" s="73" t="n"/>
      <c r="E658" s="73" t="n"/>
      <c r="F658" s="73" t="n"/>
      <c r="G658" s="73" t="n"/>
      <c r="H658" s="73" t="n"/>
      <c r="I658" s="73" t="n"/>
      <c r="J658" s="73" t="n"/>
      <c r="K658" s="73" t="n"/>
      <c r="L658" s="73" t="n"/>
      <c r="M658" s="73" t="n"/>
      <c r="N658" s="73" t="n"/>
      <c r="O658" s="73" t="n"/>
      <c r="P658" s="73" t="n"/>
      <c r="Q658" s="73" t="n"/>
      <c r="R658" s="73" t="n"/>
      <c r="S658" s="73" t="n"/>
      <c r="T658" s="73" t="n"/>
      <c r="U658" s="73" t="n"/>
      <c r="V658" s="73" t="n"/>
      <c r="W658" s="73" t="n"/>
      <c r="X658" s="73" t="n"/>
    </row>
    <row r="659">
      <c r="A659" s="46" t="n"/>
      <c r="B659" s="46" t="n"/>
      <c r="C659" s="46"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row>
    <row r="660">
      <c r="A660" s="73" t="n"/>
      <c r="B660" s="73" t="n"/>
      <c r="C660" s="73" t="n"/>
      <c r="D660" s="73" t="n"/>
      <c r="E660" s="73" t="n"/>
      <c r="F660" s="73" t="n"/>
      <c r="G660" s="73" t="n"/>
      <c r="H660" s="73" t="n"/>
      <c r="I660" s="73" t="n"/>
      <c r="J660" s="73" t="n"/>
      <c r="K660" s="73" t="n"/>
      <c r="L660" s="73" t="n"/>
      <c r="M660" s="73" t="n"/>
      <c r="N660" s="73" t="n"/>
      <c r="O660" s="73" t="n"/>
      <c r="P660" s="73" t="n"/>
      <c r="Q660" s="73" t="n"/>
      <c r="R660" s="73" t="n"/>
      <c r="S660" s="73" t="n"/>
      <c r="T660" s="73" t="n"/>
      <c r="U660" s="73" t="n"/>
      <c r="V660" s="73" t="n"/>
      <c r="W660" s="73" t="n"/>
      <c r="X660" s="73" t="n"/>
    </row>
    <row r="661">
      <c r="A661" s="46" t="n"/>
      <c r="B661" s="46" t="n"/>
      <c r="C661" s="46"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row>
    <row r="662">
      <c r="A662" s="73" t="n"/>
      <c r="B662" s="73" t="n"/>
      <c r="C662" s="73" t="n"/>
      <c r="D662" s="73" t="n"/>
      <c r="E662" s="73" t="n"/>
      <c r="F662" s="73" t="n"/>
      <c r="G662" s="73" t="n"/>
      <c r="H662" s="73" t="n"/>
      <c r="I662" s="73" t="n"/>
      <c r="J662" s="73" t="n"/>
      <c r="K662" s="73" t="n"/>
      <c r="L662" s="73" t="n"/>
      <c r="M662" s="73" t="n"/>
      <c r="N662" s="73" t="n"/>
      <c r="O662" s="73" t="n"/>
      <c r="P662" s="73" t="n"/>
      <c r="Q662" s="73" t="n"/>
      <c r="R662" s="73" t="n"/>
      <c r="S662" s="73" t="n"/>
      <c r="T662" s="73" t="n"/>
      <c r="U662" s="73" t="n"/>
      <c r="V662" s="73" t="n"/>
      <c r="W662" s="73" t="n"/>
      <c r="X662" s="73" t="n"/>
    </row>
    <row r="663">
      <c r="A663" s="46" t="n"/>
      <c r="B663" s="46" t="n"/>
      <c r="C663" s="46"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row>
    <row r="664">
      <c r="A664" s="73" t="n"/>
      <c r="B664" s="73" t="n"/>
      <c r="C664" s="73" t="n"/>
      <c r="D664" s="73" t="n"/>
      <c r="E664" s="73" t="n"/>
      <c r="F664" s="73" t="n"/>
      <c r="G664" s="73" t="n"/>
      <c r="H664" s="73" t="n"/>
      <c r="I664" s="73" t="n"/>
      <c r="J664" s="73" t="n"/>
      <c r="K664" s="73" t="n"/>
      <c r="L664" s="73" t="n"/>
      <c r="M664" s="73" t="n"/>
      <c r="N664" s="73" t="n"/>
      <c r="O664" s="73" t="n"/>
      <c r="P664" s="73" t="n"/>
      <c r="Q664" s="73" t="n"/>
      <c r="R664" s="73" t="n"/>
      <c r="S664" s="73" t="n"/>
      <c r="T664" s="73" t="n"/>
      <c r="U664" s="73" t="n"/>
      <c r="V664" s="73" t="n"/>
      <c r="W664" s="73" t="n"/>
      <c r="X664" s="73" t="n"/>
    </row>
    <row r="665">
      <c r="A665" s="46" t="n"/>
      <c r="B665" s="46" t="n"/>
      <c r="C665" s="46"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row>
    <row r="666">
      <c r="A666" s="73" t="n"/>
      <c r="B666" s="73" t="n"/>
      <c r="C666" s="73" t="n"/>
      <c r="D666" s="73" t="n"/>
      <c r="E666" s="73" t="n"/>
      <c r="F666" s="73" t="n"/>
      <c r="G666" s="73" t="n"/>
      <c r="H666" s="73" t="n"/>
      <c r="I666" s="73" t="n"/>
      <c r="J666" s="73" t="n"/>
      <c r="K666" s="73" t="n"/>
      <c r="L666" s="73" t="n"/>
      <c r="M666" s="73" t="n"/>
      <c r="N666" s="73" t="n"/>
      <c r="O666" s="73" t="n"/>
      <c r="P666" s="73" t="n"/>
      <c r="Q666" s="73" t="n"/>
      <c r="R666" s="73" t="n"/>
      <c r="S666" s="73" t="n"/>
      <c r="T666" s="73" t="n"/>
      <c r="U666" s="73" t="n"/>
      <c r="V666" s="73" t="n"/>
      <c r="W666" s="73" t="n"/>
      <c r="X666" s="73" t="n"/>
    </row>
    <row r="667">
      <c r="A667" s="46" t="n"/>
      <c r="B667" s="46" t="n"/>
      <c r="C667" s="46"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row>
    <row r="668">
      <c r="A668" s="73" t="n"/>
      <c r="B668" s="73" t="n"/>
      <c r="C668" s="73" t="n"/>
      <c r="D668" s="73" t="n"/>
      <c r="E668" s="73" t="n"/>
      <c r="F668" s="73" t="n"/>
      <c r="G668" s="73" t="n"/>
      <c r="H668" s="73" t="n"/>
      <c r="I668" s="73" t="n"/>
      <c r="J668" s="73" t="n"/>
      <c r="K668" s="73" t="n"/>
      <c r="L668" s="73" t="n"/>
      <c r="M668" s="73" t="n"/>
      <c r="N668" s="73" t="n"/>
      <c r="O668" s="73" t="n"/>
      <c r="P668" s="73" t="n"/>
      <c r="Q668" s="73" t="n"/>
      <c r="R668" s="73" t="n"/>
      <c r="S668" s="73" t="n"/>
      <c r="T668" s="73" t="n"/>
      <c r="U668" s="73" t="n"/>
      <c r="V668" s="73" t="n"/>
      <c r="W668" s="73" t="n"/>
      <c r="X668" s="73" t="n"/>
    </row>
    <row r="669">
      <c r="A669" s="46" t="n"/>
      <c r="B669" s="46" t="n"/>
      <c r="C669" s="46"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row>
    <row r="670">
      <c r="A670" s="73" t="n"/>
      <c r="B670" s="73" t="n"/>
      <c r="C670" s="73" t="n"/>
      <c r="D670" s="73" t="n"/>
      <c r="E670" s="73" t="n"/>
      <c r="F670" s="73" t="n"/>
      <c r="G670" s="73" t="n"/>
      <c r="H670" s="73" t="n"/>
      <c r="I670" s="73" t="n"/>
      <c r="J670" s="73" t="n"/>
      <c r="K670" s="73" t="n"/>
      <c r="L670" s="73" t="n"/>
      <c r="M670" s="73" t="n"/>
      <c r="N670" s="73" t="n"/>
      <c r="O670" s="73" t="n"/>
      <c r="P670" s="73" t="n"/>
      <c r="Q670" s="73" t="n"/>
      <c r="R670" s="73" t="n"/>
      <c r="S670" s="73" t="n"/>
      <c r="T670" s="73" t="n"/>
      <c r="U670" s="73" t="n"/>
      <c r="V670" s="73" t="n"/>
      <c r="W670" s="73" t="n"/>
      <c r="X670" s="73" t="n"/>
    </row>
    <row r="671">
      <c r="A671" s="46" t="n"/>
      <c r="B671" s="46" t="n"/>
      <c r="C671" s="46"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row>
    <row r="672">
      <c r="A672" s="73" t="n"/>
      <c r="B672" s="73" t="n"/>
      <c r="C672" s="73" t="n"/>
      <c r="D672" s="73" t="n"/>
      <c r="E672" s="73" t="n"/>
      <c r="F672" s="73" t="n"/>
      <c r="G672" s="73" t="n"/>
      <c r="H672" s="73" t="n"/>
      <c r="I672" s="73" t="n"/>
      <c r="J672" s="73" t="n"/>
      <c r="K672" s="73" t="n"/>
      <c r="L672" s="73" t="n"/>
      <c r="M672" s="73" t="n"/>
      <c r="N672" s="73" t="n"/>
      <c r="O672" s="73" t="n"/>
      <c r="P672" s="73" t="n"/>
      <c r="Q672" s="73" t="n"/>
      <c r="R672" s="73" t="n"/>
      <c r="S672" s="73" t="n"/>
      <c r="T672" s="73" t="n"/>
      <c r="U672" s="73" t="n"/>
      <c r="V672" s="73" t="n"/>
      <c r="W672" s="73" t="n"/>
      <c r="X672" s="73" t="n"/>
    </row>
    <row r="673">
      <c r="A673" s="46" t="n"/>
      <c r="B673" s="46" t="n"/>
      <c r="C673" s="46"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row>
    <row r="674">
      <c r="A674" s="73" t="n"/>
      <c r="B674" s="73" t="n"/>
      <c r="C674" s="73" t="n"/>
      <c r="D674" s="73" t="n"/>
      <c r="E674" s="73" t="n"/>
      <c r="F674" s="73" t="n"/>
      <c r="G674" s="73" t="n"/>
      <c r="H674" s="73" t="n"/>
      <c r="I674" s="73" t="n"/>
      <c r="J674" s="73" t="n"/>
      <c r="K674" s="73" t="n"/>
      <c r="L674" s="73" t="n"/>
      <c r="M674" s="73" t="n"/>
      <c r="N674" s="73" t="n"/>
      <c r="O674" s="73" t="n"/>
      <c r="P674" s="73" t="n"/>
      <c r="Q674" s="73" t="n"/>
      <c r="R674" s="73" t="n"/>
      <c r="S674" s="73" t="n"/>
      <c r="T674" s="73" t="n"/>
      <c r="U674" s="73" t="n"/>
      <c r="V674" s="73" t="n"/>
      <c r="W674" s="73" t="n"/>
      <c r="X674" s="73" t="n"/>
    </row>
    <row r="675">
      <c r="A675" s="46" t="n"/>
      <c r="B675" s="46" t="n"/>
      <c r="C675" s="46"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row>
    <row r="676">
      <c r="A676" s="73" t="n"/>
      <c r="B676" s="73" t="n"/>
      <c r="C676" s="73" t="n"/>
      <c r="D676" s="73" t="n"/>
      <c r="E676" s="73" t="n"/>
      <c r="F676" s="73" t="n"/>
      <c r="G676" s="73" t="n"/>
      <c r="H676" s="73" t="n"/>
      <c r="I676" s="73" t="n"/>
      <c r="J676" s="73" t="n"/>
      <c r="K676" s="73" t="n"/>
      <c r="L676" s="73" t="n"/>
      <c r="M676" s="73" t="n"/>
      <c r="N676" s="73" t="n"/>
      <c r="O676" s="73" t="n"/>
      <c r="P676" s="73" t="n"/>
      <c r="Q676" s="73" t="n"/>
      <c r="R676" s="73" t="n"/>
      <c r="S676" s="73" t="n"/>
      <c r="T676" s="73" t="n"/>
      <c r="U676" s="73" t="n"/>
      <c r="V676" s="73" t="n"/>
      <c r="W676" s="73" t="n"/>
      <c r="X676" s="73" t="n"/>
    </row>
    <row r="677">
      <c r="A677" s="46" t="n"/>
      <c r="B677" s="46" t="n"/>
      <c r="C677" s="46"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row>
    <row r="678">
      <c r="A678" s="73" t="n"/>
      <c r="B678" s="73" t="n"/>
      <c r="C678" s="73" t="n"/>
      <c r="D678" s="73" t="n"/>
      <c r="E678" s="73" t="n"/>
      <c r="F678" s="73" t="n"/>
      <c r="G678" s="73" t="n"/>
      <c r="H678" s="73" t="n"/>
      <c r="I678" s="73" t="n"/>
      <c r="J678" s="73" t="n"/>
      <c r="K678" s="73" t="n"/>
      <c r="L678" s="73" t="n"/>
      <c r="M678" s="73" t="n"/>
      <c r="N678" s="73" t="n"/>
      <c r="O678" s="73" t="n"/>
      <c r="P678" s="73" t="n"/>
      <c r="Q678" s="73" t="n"/>
      <c r="R678" s="73" t="n"/>
      <c r="S678" s="73" t="n"/>
      <c r="T678" s="73" t="n"/>
      <c r="U678" s="73" t="n"/>
      <c r="V678" s="73" t="n"/>
      <c r="W678" s="73" t="n"/>
      <c r="X678" s="73" t="n"/>
    </row>
    <row r="679">
      <c r="A679" s="46" t="n"/>
      <c r="B679" s="46" t="n"/>
      <c r="C679" s="46"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row>
    <row r="680">
      <c r="A680" s="73" t="n"/>
      <c r="B680" s="73" t="n"/>
      <c r="C680" s="73" t="n"/>
      <c r="D680" s="73" t="n"/>
      <c r="E680" s="73" t="n"/>
      <c r="F680" s="73" t="n"/>
      <c r="G680" s="73" t="n"/>
      <c r="H680" s="73" t="n"/>
      <c r="I680" s="73" t="n"/>
      <c r="J680" s="73" t="n"/>
      <c r="K680" s="73" t="n"/>
      <c r="L680" s="73" t="n"/>
      <c r="M680" s="73" t="n"/>
      <c r="N680" s="73" t="n"/>
      <c r="O680" s="73" t="n"/>
      <c r="P680" s="73" t="n"/>
      <c r="Q680" s="73" t="n"/>
      <c r="R680" s="73" t="n"/>
      <c r="S680" s="73" t="n"/>
      <c r="T680" s="73" t="n"/>
      <c r="U680" s="73" t="n"/>
      <c r="V680" s="73" t="n"/>
      <c r="W680" s="73" t="n"/>
      <c r="X680" s="73" t="n"/>
    </row>
    <row r="681">
      <c r="A681" s="46" t="n"/>
      <c r="B681" s="46" t="n"/>
      <c r="C681" s="46"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row>
    <row r="682">
      <c r="A682" s="73" t="n"/>
      <c r="B682" s="73" t="n"/>
      <c r="C682" s="73" t="n"/>
      <c r="D682" s="73" t="n"/>
      <c r="E682" s="73" t="n"/>
      <c r="F682" s="73" t="n"/>
      <c r="G682" s="73" t="n"/>
      <c r="H682" s="73" t="n"/>
      <c r="I682" s="73" t="n"/>
      <c r="J682" s="73" t="n"/>
      <c r="K682" s="73" t="n"/>
      <c r="L682" s="73" t="n"/>
      <c r="M682" s="73" t="n"/>
      <c r="N682" s="73" t="n"/>
      <c r="O682" s="73" t="n"/>
      <c r="P682" s="73" t="n"/>
      <c r="Q682" s="73" t="n"/>
      <c r="R682" s="73" t="n"/>
      <c r="S682" s="73" t="n"/>
      <c r="T682" s="73" t="n"/>
      <c r="U682" s="73" t="n"/>
      <c r="V682" s="73" t="n"/>
      <c r="W682" s="73" t="n"/>
      <c r="X682" s="73" t="n"/>
    </row>
    <row r="683">
      <c r="A683" s="46" t="n"/>
      <c r="B683" s="46" t="n"/>
      <c r="C683" s="46"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row>
    <row r="684">
      <c r="A684" s="73" t="n"/>
      <c r="B684" s="73" t="n"/>
      <c r="C684" s="73" t="n"/>
      <c r="D684" s="73" t="n"/>
      <c r="E684" s="73" t="n"/>
      <c r="F684" s="73" t="n"/>
      <c r="G684" s="73" t="n"/>
      <c r="H684" s="73" t="n"/>
      <c r="I684" s="73" t="n"/>
      <c r="J684" s="73" t="n"/>
      <c r="K684" s="73" t="n"/>
      <c r="L684" s="73" t="n"/>
      <c r="M684" s="73" t="n"/>
      <c r="N684" s="73" t="n"/>
      <c r="O684" s="73" t="n"/>
      <c r="P684" s="73" t="n"/>
      <c r="Q684" s="73" t="n"/>
      <c r="R684" s="73" t="n"/>
      <c r="S684" s="73" t="n"/>
      <c r="T684" s="73" t="n"/>
      <c r="U684" s="73" t="n"/>
      <c r="V684" s="73" t="n"/>
      <c r="W684" s="73" t="n"/>
      <c r="X684" s="73" t="n"/>
    </row>
    <row r="685">
      <c r="A685" s="46" t="n"/>
      <c r="B685" s="46" t="n"/>
      <c r="C685" s="46"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row>
    <row r="686">
      <c r="A686" s="73" t="n"/>
      <c r="B686" s="73" t="n"/>
      <c r="C686" s="73" t="n"/>
      <c r="D686" s="73" t="n"/>
      <c r="E686" s="73" t="n"/>
      <c r="F686" s="73" t="n"/>
      <c r="G686" s="73" t="n"/>
      <c r="H686" s="73" t="n"/>
      <c r="I686" s="73" t="n"/>
      <c r="J686" s="73" t="n"/>
      <c r="K686" s="73" t="n"/>
      <c r="L686" s="73" t="n"/>
      <c r="M686" s="73" t="n"/>
      <c r="N686" s="73" t="n"/>
      <c r="O686" s="73" t="n"/>
      <c r="P686" s="73" t="n"/>
      <c r="Q686" s="73" t="n"/>
      <c r="R686" s="73" t="n"/>
      <c r="S686" s="73" t="n"/>
      <c r="T686" s="73" t="n"/>
      <c r="U686" s="73" t="n"/>
      <c r="V686" s="73" t="n"/>
      <c r="W686" s="73" t="n"/>
      <c r="X686" s="73" t="n"/>
    </row>
    <row r="687">
      <c r="A687" s="46" t="n"/>
      <c r="B687" s="46" t="n"/>
      <c r="C687" s="46"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row>
    <row r="688">
      <c r="A688" s="73" t="n"/>
      <c r="B688" s="73" t="n"/>
      <c r="C688" s="73" t="n"/>
      <c r="D688" s="73" t="n"/>
      <c r="E688" s="73" t="n"/>
      <c r="F688" s="73" t="n"/>
      <c r="G688" s="73" t="n"/>
      <c r="H688" s="73" t="n"/>
      <c r="I688" s="73" t="n"/>
      <c r="J688" s="73" t="n"/>
      <c r="K688" s="73" t="n"/>
      <c r="L688" s="73" t="n"/>
      <c r="M688" s="73" t="n"/>
      <c r="N688" s="73" t="n"/>
      <c r="O688" s="73" t="n"/>
      <c r="P688" s="73" t="n"/>
      <c r="Q688" s="73" t="n"/>
      <c r="R688" s="73" t="n"/>
      <c r="S688" s="73" t="n"/>
      <c r="T688" s="73" t="n"/>
      <c r="U688" s="73" t="n"/>
      <c r="V688" s="73" t="n"/>
      <c r="W688" s="73" t="n"/>
      <c r="X688" s="73" t="n"/>
    </row>
    <row r="689">
      <c r="A689" s="46" t="n"/>
      <c r="B689" s="46" t="n"/>
      <c r="C689" s="46"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row>
    <row r="690">
      <c r="A690" s="73" t="n"/>
      <c r="B690" s="73" t="n"/>
      <c r="C690" s="73" t="n"/>
      <c r="D690" s="73" t="n"/>
      <c r="E690" s="73" t="n"/>
      <c r="F690" s="73" t="n"/>
      <c r="G690" s="73" t="n"/>
      <c r="H690" s="73" t="n"/>
      <c r="I690" s="73" t="n"/>
      <c r="J690" s="73" t="n"/>
      <c r="K690" s="73" t="n"/>
      <c r="L690" s="73" t="n"/>
      <c r="M690" s="73" t="n"/>
      <c r="N690" s="73" t="n"/>
      <c r="O690" s="73" t="n"/>
      <c r="P690" s="73" t="n"/>
      <c r="Q690" s="73" t="n"/>
      <c r="R690" s="73" t="n"/>
      <c r="S690" s="73" t="n"/>
      <c r="T690" s="73" t="n"/>
      <c r="U690" s="73" t="n"/>
      <c r="V690" s="73" t="n"/>
      <c r="W690" s="73" t="n"/>
      <c r="X690" s="73" t="n"/>
    </row>
    <row r="691">
      <c r="A691" s="46" t="n"/>
      <c r="B691" s="46" t="n"/>
      <c r="C691" s="46"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row>
    <row r="692">
      <c r="A692" s="73" t="n"/>
      <c r="B692" s="73" t="n"/>
      <c r="C692" s="73" t="n"/>
      <c r="D692" s="73" t="n"/>
      <c r="E692" s="73" t="n"/>
      <c r="F692" s="73" t="n"/>
      <c r="G692" s="73" t="n"/>
      <c r="H692" s="73" t="n"/>
      <c r="I692" s="73" t="n"/>
      <c r="J692" s="73" t="n"/>
      <c r="K692" s="73" t="n"/>
      <c r="L692" s="73" t="n"/>
      <c r="M692" s="73" t="n"/>
      <c r="N692" s="73" t="n"/>
      <c r="O692" s="73" t="n"/>
      <c r="P692" s="73" t="n"/>
      <c r="Q692" s="73" t="n"/>
      <c r="R692" s="73" t="n"/>
      <c r="S692" s="73" t="n"/>
      <c r="T692" s="73" t="n"/>
      <c r="U692" s="73" t="n"/>
      <c r="V692" s="73" t="n"/>
      <c r="W692" s="73" t="n"/>
      <c r="X692" s="73" t="n"/>
    </row>
    <row r="693">
      <c r="A693" s="46" t="n"/>
      <c r="B693" s="46" t="n"/>
      <c r="C693" s="46"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row>
    <row r="694">
      <c r="A694" s="73" t="n"/>
      <c r="B694" s="73" t="n"/>
      <c r="C694" s="73" t="n"/>
      <c r="D694" s="73" t="n"/>
      <c r="E694" s="73" t="n"/>
      <c r="F694" s="73" t="n"/>
      <c r="G694" s="73" t="n"/>
      <c r="H694" s="73" t="n"/>
      <c r="I694" s="73" t="n"/>
      <c r="J694" s="73" t="n"/>
      <c r="K694" s="73" t="n"/>
      <c r="L694" s="73" t="n"/>
      <c r="M694" s="73" t="n"/>
      <c r="N694" s="73" t="n"/>
      <c r="O694" s="73" t="n"/>
      <c r="P694" s="73" t="n"/>
      <c r="Q694" s="73" t="n"/>
      <c r="R694" s="73" t="n"/>
      <c r="S694" s="73" t="n"/>
      <c r="T694" s="73" t="n"/>
      <c r="U694" s="73" t="n"/>
      <c r="V694" s="73" t="n"/>
      <c r="W694" s="73" t="n"/>
      <c r="X694" s="73" t="n"/>
    </row>
    <row r="695">
      <c r="A695" s="46" t="n"/>
      <c r="B695" s="46" t="n"/>
      <c r="C695" s="46"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row>
    <row r="696">
      <c r="A696" s="73" t="n"/>
      <c r="B696" s="73" t="n"/>
      <c r="C696" s="73" t="n"/>
      <c r="D696" s="73" t="n"/>
      <c r="E696" s="73" t="n"/>
      <c r="F696" s="73" t="n"/>
      <c r="G696" s="73" t="n"/>
      <c r="H696" s="73" t="n"/>
      <c r="I696" s="73" t="n"/>
      <c r="J696" s="73" t="n"/>
      <c r="K696" s="73" t="n"/>
      <c r="L696" s="73" t="n"/>
      <c r="M696" s="73" t="n"/>
      <c r="N696" s="73" t="n"/>
      <c r="O696" s="73" t="n"/>
      <c r="P696" s="73" t="n"/>
      <c r="Q696" s="73" t="n"/>
      <c r="R696" s="73" t="n"/>
      <c r="S696" s="73" t="n"/>
      <c r="T696" s="73" t="n"/>
      <c r="U696" s="73" t="n"/>
      <c r="V696" s="73" t="n"/>
      <c r="W696" s="73" t="n"/>
      <c r="X696" s="73" t="n"/>
    </row>
    <row r="697">
      <c r="A697" s="46" t="n"/>
      <c r="B697" s="46" t="n"/>
      <c r="C697" s="46"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row>
    <row r="698">
      <c r="A698" s="73" t="n"/>
      <c r="B698" s="73" t="n"/>
      <c r="C698" s="73" t="n"/>
      <c r="D698" s="73" t="n"/>
      <c r="E698" s="73" t="n"/>
      <c r="F698" s="73" t="n"/>
      <c r="G698" s="73" t="n"/>
      <c r="H698" s="73" t="n"/>
      <c r="I698" s="73" t="n"/>
      <c r="J698" s="73" t="n"/>
      <c r="K698" s="73" t="n"/>
      <c r="L698" s="73" t="n"/>
      <c r="M698" s="73" t="n"/>
      <c r="N698" s="73" t="n"/>
      <c r="O698" s="73" t="n"/>
      <c r="P698" s="73" t="n"/>
      <c r="Q698" s="73" t="n"/>
      <c r="R698" s="73" t="n"/>
      <c r="S698" s="73" t="n"/>
      <c r="T698" s="73" t="n"/>
      <c r="U698" s="73" t="n"/>
      <c r="V698" s="73" t="n"/>
      <c r="W698" s="73" t="n"/>
      <c r="X698" s="73" t="n"/>
    </row>
    <row r="699">
      <c r="A699" s="46" t="n"/>
      <c r="B699" s="46" t="n"/>
      <c r="C699" s="46"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row>
    <row r="700">
      <c r="A700" s="73" t="n"/>
      <c r="B700" s="73" t="n"/>
      <c r="C700" s="73" t="n"/>
      <c r="D700" s="73" t="n"/>
      <c r="E700" s="73" t="n"/>
      <c r="F700" s="73" t="n"/>
      <c r="G700" s="73" t="n"/>
      <c r="H700" s="73" t="n"/>
      <c r="I700" s="73" t="n"/>
      <c r="J700" s="73" t="n"/>
      <c r="K700" s="73" t="n"/>
      <c r="L700" s="73" t="n"/>
      <c r="M700" s="73" t="n"/>
      <c r="N700" s="73" t="n"/>
      <c r="O700" s="73" t="n"/>
      <c r="P700" s="73" t="n"/>
      <c r="Q700" s="73" t="n"/>
      <c r="R700" s="73" t="n"/>
      <c r="S700" s="73" t="n"/>
      <c r="T700" s="73" t="n"/>
      <c r="U700" s="73" t="n"/>
      <c r="V700" s="73" t="n"/>
      <c r="W700" s="73" t="n"/>
      <c r="X700" s="73" t="n"/>
    </row>
    <row r="701">
      <c r="A701" s="46" t="n"/>
      <c r="B701" s="46" t="n"/>
      <c r="C701" s="46"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row>
    <row r="702">
      <c r="A702" s="73" t="n"/>
      <c r="B702" s="73" t="n"/>
      <c r="C702" s="73" t="n"/>
      <c r="D702" s="73" t="n"/>
      <c r="E702" s="73" t="n"/>
      <c r="F702" s="73" t="n"/>
      <c r="G702" s="73" t="n"/>
      <c r="H702" s="73" t="n"/>
      <c r="I702" s="73" t="n"/>
      <c r="J702" s="73" t="n"/>
      <c r="K702" s="73" t="n"/>
      <c r="L702" s="73" t="n"/>
      <c r="M702" s="73" t="n"/>
      <c r="N702" s="73" t="n"/>
      <c r="O702" s="73" t="n"/>
      <c r="P702" s="73" t="n"/>
      <c r="Q702" s="73" t="n"/>
      <c r="R702" s="73" t="n"/>
      <c r="S702" s="73" t="n"/>
      <c r="T702" s="73" t="n"/>
      <c r="U702" s="73" t="n"/>
      <c r="V702" s="73" t="n"/>
      <c r="W702" s="73" t="n"/>
      <c r="X702" s="73" t="n"/>
    </row>
    <row r="703">
      <c r="A703" s="46" t="n"/>
      <c r="B703" s="46" t="n"/>
      <c r="C703" s="46"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row>
    <row r="704">
      <c r="A704" s="73" t="n"/>
      <c r="B704" s="73" t="n"/>
      <c r="C704" s="73" t="n"/>
      <c r="D704" s="73" t="n"/>
      <c r="E704" s="73" t="n"/>
      <c r="F704" s="73" t="n"/>
      <c r="G704" s="73" t="n"/>
      <c r="H704" s="73" t="n"/>
      <c r="I704" s="73" t="n"/>
      <c r="J704" s="73" t="n"/>
      <c r="K704" s="73" t="n"/>
      <c r="L704" s="73" t="n"/>
      <c r="M704" s="73" t="n"/>
      <c r="N704" s="73" t="n"/>
      <c r="O704" s="73" t="n"/>
      <c r="P704" s="73" t="n"/>
      <c r="Q704" s="73" t="n"/>
      <c r="R704" s="73" t="n"/>
      <c r="S704" s="73" t="n"/>
      <c r="T704" s="73" t="n"/>
      <c r="U704" s="73" t="n"/>
      <c r="V704" s="73" t="n"/>
      <c r="W704" s="73" t="n"/>
      <c r="X704" s="73" t="n"/>
    </row>
    <row r="705">
      <c r="A705" s="46" t="n"/>
      <c r="B705" s="46" t="n"/>
      <c r="C705" s="46"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row>
    <row r="706">
      <c r="A706" s="73" t="n"/>
      <c r="B706" s="73" t="n"/>
      <c r="C706" s="73" t="n"/>
      <c r="D706" s="73" t="n"/>
      <c r="E706" s="73" t="n"/>
      <c r="F706" s="73" t="n"/>
      <c r="G706" s="73" t="n"/>
      <c r="H706" s="73" t="n"/>
      <c r="I706" s="73" t="n"/>
      <c r="J706" s="73" t="n"/>
      <c r="K706" s="73" t="n"/>
      <c r="L706" s="73" t="n"/>
      <c r="M706" s="73" t="n"/>
      <c r="N706" s="73" t="n"/>
      <c r="O706" s="73" t="n"/>
      <c r="P706" s="73" t="n"/>
      <c r="Q706" s="73" t="n"/>
      <c r="R706" s="73" t="n"/>
      <c r="S706" s="73" t="n"/>
      <c r="T706" s="73" t="n"/>
      <c r="U706" s="73" t="n"/>
      <c r="V706" s="73" t="n"/>
      <c r="W706" s="73" t="n"/>
      <c r="X706" s="73" t="n"/>
    </row>
    <row r="707">
      <c r="A707" s="46" t="n"/>
      <c r="B707" s="46" t="n"/>
      <c r="C707" s="46"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row>
    <row r="708">
      <c r="A708" s="73" t="n"/>
      <c r="B708" s="73" t="n"/>
      <c r="C708" s="73" t="n"/>
      <c r="D708" s="73" t="n"/>
      <c r="E708" s="73" t="n"/>
      <c r="F708" s="73" t="n"/>
      <c r="G708" s="73" t="n"/>
      <c r="H708" s="73" t="n"/>
      <c r="I708" s="73" t="n"/>
      <c r="J708" s="73" t="n"/>
      <c r="K708" s="73" t="n"/>
      <c r="L708" s="73" t="n"/>
      <c r="M708" s="73" t="n"/>
      <c r="N708" s="73" t="n"/>
      <c r="O708" s="73" t="n"/>
      <c r="P708" s="73" t="n"/>
      <c r="Q708" s="73" t="n"/>
      <c r="R708" s="73" t="n"/>
      <c r="S708" s="73" t="n"/>
      <c r="T708" s="73" t="n"/>
      <c r="U708" s="73" t="n"/>
      <c r="V708" s="73" t="n"/>
      <c r="W708" s="73" t="n"/>
      <c r="X708" s="73" t="n"/>
    </row>
    <row r="709">
      <c r="A709" s="46" t="n"/>
      <c r="B709" s="46" t="n"/>
      <c r="C709" s="46"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row>
    <row r="710">
      <c r="A710" s="73" t="n"/>
      <c r="B710" s="73" t="n"/>
      <c r="C710" s="73" t="n"/>
      <c r="D710" s="73" t="n"/>
      <c r="E710" s="73" t="n"/>
      <c r="F710" s="73" t="n"/>
      <c r="G710" s="73" t="n"/>
      <c r="H710" s="73" t="n"/>
      <c r="I710" s="73" t="n"/>
      <c r="J710" s="73" t="n"/>
      <c r="K710" s="73" t="n"/>
      <c r="L710" s="73" t="n"/>
      <c r="M710" s="73" t="n"/>
      <c r="N710" s="73" t="n"/>
      <c r="O710" s="73" t="n"/>
      <c r="P710" s="73" t="n"/>
      <c r="Q710" s="73" t="n"/>
      <c r="R710" s="73" t="n"/>
      <c r="S710" s="73" t="n"/>
      <c r="T710" s="73" t="n"/>
      <c r="U710" s="73" t="n"/>
      <c r="V710" s="73" t="n"/>
      <c r="W710" s="73" t="n"/>
      <c r="X710" s="73" t="n"/>
    </row>
    <row r="711">
      <c r="A711" s="46" t="n"/>
      <c r="B711" s="46" t="n"/>
      <c r="C711" s="46"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row>
    <row r="712">
      <c r="A712" s="73" t="n"/>
      <c r="B712" s="73" t="n"/>
      <c r="C712" s="73" t="n"/>
      <c r="D712" s="73" t="n"/>
      <c r="E712" s="73" t="n"/>
      <c r="F712" s="73" t="n"/>
      <c r="G712" s="73" t="n"/>
      <c r="H712" s="73" t="n"/>
      <c r="I712" s="73" t="n"/>
      <c r="J712" s="73" t="n"/>
      <c r="K712" s="73" t="n"/>
      <c r="L712" s="73" t="n"/>
      <c r="M712" s="73" t="n"/>
      <c r="N712" s="73" t="n"/>
      <c r="O712" s="73" t="n"/>
      <c r="P712" s="73" t="n"/>
      <c r="Q712" s="73" t="n"/>
      <c r="R712" s="73" t="n"/>
      <c r="S712" s="73" t="n"/>
      <c r="T712" s="73" t="n"/>
      <c r="U712" s="73" t="n"/>
      <c r="V712" s="73" t="n"/>
      <c r="W712" s="73" t="n"/>
      <c r="X712" s="73" t="n"/>
    </row>
    <row r="713">
      <c r="A713" s="46" t="n"/>
      <c r="B713" s="46" t="n"/>
      <c r="C713" s="46"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row>
    <row r="714">
      <c r="A714" s="73" t="n"/>
      <c r="B714" s="73" t="n"/>
      <c r="C714" s="73" t="n"/>
      <c r="D714" s="73" t="n"/>
      <c r="E714" s="73" t="n"/>
      <c r="F714" s="73" t="n"/>
      <c r="G714" s="73" t="n"/>
      <c r="H714" s="73" t="n"/>
      <c r="I714" s="73" t="n"/>
      <c r="J714" s="73" t="n"/>
      <c r="K714" s="73" t="n"/>
      <c r="L714" s="73" t="n"/>
      <c r="M714" s="73" t="n"/>
      <c r="N714" s="73" t="n"/>
      <c r="O714" s="73" t="n"/>
      <c r="P714" s="73" t="n"/>
      <c r="Q714" s="73" t="n"/>
      <c r="R714" s="73" t="n"/>
      <c r="S714" s="73" t="n"/>
      <c r="T714" s="73" t="n"/>
      <c r="U714" s="73" t="n"/>
      <c r="V714" s="73" t="n"/>
      <c r="W714" s="73" t="n"/>
      <c r="X714" s="73" t="n"/>
    </row>
    <row r="715">
      <c r="A715" s="46" t="n"/>
      <c r="B715" s="46" t="n"/>
      <c r="C715" s="46"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row>
    <row r="716">
      <c r="A716" s="73" t="n"/>
      <c r="B716" s="73" t="n"/>
      <c r="C716" s="73" t="n"/>
      <c r="D716" s="73" t="n"/>
      <c r="E716" s="73" t="n"/>
      <c r="F716" s="73" t="n"/>
      <c r="G716" s="73" t="n"/>
      <c r="H716" s="73" t="n"/>
      <c r="I716" s="73" t="n"/>
      <c r="J716" s="73" t="n"/>
      <c r="K716" s="73" t="n"/>
      <c r="L716" s="73" t="n"/>
      <c r="M716" s="73" t="n"/>
      <c r="N716" s="73" t="n"/>
      <c r="O716" s="73" t="n"/>
      <c r="P716" s="73" t="n"/>
      <c r="Q716" s="73" t="n"/>
      <c r="R716" s="73" t="n"/>
      <c r="S716" s="73" t="n"/>
      <c r="T716" s="73" t="n"/>
      <c r="U716" s="73" t="n"/>
      <c r="V716" s="73" t="n"/>
      <c r="W716" s="73" t="n"/>
      <c r="X716" s="73" t="n"/>
    </row>
    <row r="717">
      <c r="A717" s="46" t="n"/>
      <c r="B717" s="46" t="n"/>
      <c r="C717" s="46"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row>
    <row r="718">
      <c r="A718" s="73" t="n"/>
      <c r="B718" s="73" t="n"/>
      <c r="C718" s="73" t="n"/>
      <c r="D718" s="73" t="n"/>
      <c r="E718" s="73" t="n"/>
      <c r="F718" s="73" t="n"/>
      <c r="G718" s="73" t="n"/>
      <c r="H718" s="73" t="n"/>
      <c r="I718" s="73" t="n"/>
      <c r="J718" s="73" t="n"/>
      <c r="K718" s="73" t="n"/>
      <c r="L718" s="73" t="n"/>
      <c r="M718" s="73" t="n"/>
      <c r="N718" s="73" t="n"/>
      <c r="O718" s="73" t="n"/>
      <c r="P718" s="73" t="n"/>
      <c r="Q718" s="73" t="n"/>
      <c r="R718" s="73" t="n"/>
      <c r="S718" s="73" t="n"/>
      <c r="T718" s="73" t="n"/>
      <c r="U718" s="73" t="n"/>
      <c r="V718" s="73" t="n"/>
      <c r="W718" s="73" t="n"/>
      <c r="X718" s="73" t="n"/>
    </row>
    <row r="719">
      <c r="A719" s="46" t="n"/>
      <c r="B719" s="46" t="n"/>
      <c r="C719" s="46"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row>
    <row r="720">
      <c r="A720" s="73" t="n"/>
      <c r="B720" s="73" t="n"/>
      <c r="C720" s="73" t="n"/>
      <c r="D720" s="73" t="n"/>
      <c r="E720" s="73" t="n"/>
      <c r="F720" s="73" t="n"/>
      <c r="G720" s="73" t="n"/>
      <c r="H720" s="73" t="n"/>
      <c r="I720" s="73" t="n"/>
      <c r="J720" s="73" t="n"/>
      <c r="K720" s="73" t="n"/>
      <c r="L720" s="73" t="n"/>
      <c r="M720" s="73" t="n"/>
      <c r="N720" s="73" t="n"/>
      <c r="O720" s="73" t="n"/>
      <c r="P720" s="73" t="n"/>
      <c r="Q720" s="73" t="n"/>
      <c r="R720" s="73" t="n"/>
      <c r="S720" s="73" t="n"/>
      <c r="T720" s="73" t="n"/>
      <c r="U720" s="73" t="n"/>
      <c r="V720" s="73" t="n"/>
      <c r="W720" s="73" t="n"/>
      <c r="X720" s="73" t="n"/>
    </row>
    <row r="721">
      <c r="A721" s="46" t="n"/>
      <c r="B721" s="46" t="n"/>
      <c r="C721" s="46"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row>
    <row r="722">
      <c r="A722" s="73" t="n"/>
      <c r="B722" s="73" t="n"/>
      <c r="C722" s="73" t="n"/>
      <c r="D722" s="73" t="n"/>
      <c r="E722" s="73" t="n"/>
      <c r="F722" s="73" t="n"/>
      <c r="G722" s="73" t="n"/>
      <c r="H722" s="73" t="n"/>
      <c r="I722" s="73" t="n"/>
      <c r="J722" s="73" t="n"/>
      <c r="K722" s="73" t="n"/>
      <c r="L722" s="73" t="n"/>
      <c r="M722" s="73" t="n"/>
      <c r="N722" s="73" t="n"/>
      <c r="O722" s="73" t="n"/>
      <c r="P722" s="73" t="n"/>
      <c r="Q722" s="73" t="n"/>
      <c r="R722" s="73" t="n"/>
      <c r="S722" s="73" t="n"/>
      <c r="T722" s="73" t="n"/>
      <c r="U722" s="73" t="n"/>
      <c r="V722" s="73" t="n"/>
      <c r="W722" s="73" t="n"/>
      <c r="X722" s="73" t="n"/>
    </row>
    <row r="723">
      <c r="A723" s="46" t="n"/>
      <c r="B723" s="46" t="n"/>
      <c r="C723" s="46"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row>
    <row r="724">
      <c r="A724" s="73" t="n"/>
      <c r="B724" s="73" t="n"/>
      <c r="C724" s="73" t="n"/>
      <c r="D724" s="73" t="n"/>
      <c r="E724" s="73" t="n"/>
      <c r="F724" s="73" t="n"/>
      <c r="G724" s="73" t="n"/>
      <c r="H724" s="73" t="n"/>
      <c r="I724" s="73" t="n"/>
      <c r="J724" s="73" t="n"/>
      <c r="K724" s="73" t="n"/>
      <c r="L724" s="73" t="n"/>
      <c r="M724" s="73" t="n"/>
      <c r="N724" s="73" t="n"/>
      <c r="O724" s="73" t="n"/>
      <c r="P724" s="73" t="n"/>
      <c r="Q724" s="73" t="n"/>
      <c r="R724" s="73" t="n"/>
      <c r="S724" s="73" t="n"/>
      <c r="T724" s="73" t="n"/>
      <c r="U724" s="73" t="n"/>
      <c r="V724" s="73" t="n"/>
      <c r="W724" s="73" t="n"/>
      <c r="X724" s="73" t="n"/>
    </row>
    <row r="725">
      <c r="A725" s="46" t="n"/>
      <c r="B725" s="46" t="n"/>
      <c r="C725" s="46"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row>
    <row r="726">
      <c r="A726" s="73" t="n"/>
      <c r="B726" s="73" t="n"/>
      <c r="C726" s="73" t="n"/>
      <c r="D726" s="73" t="n"/>
      <c r="E726" s="73" t="n"/>
      <c r="F726" s="73" t="n"/>
      <c r="G726" s="73" t="n"/>
      <c r="H726" s="73" t="n"/>
      <c r="I726" s="73" t="n"/>
      <c r="J726" s="73" t="n"/>
      <c r="K726" s="73" t="n"/>
      <c r="L726" s="73" t="n"/>
      <c r="M726" s="73" t="n"/>
      <c r="N726" s="73" t="n"/>
      <c r="O726" s="73" t="n"/>
      <c r="P726" s="73" t="n"/>
      <c r="Q726" s="73" t="n"/>
      <c r="R726" s="73" t="n"/>
      <c r="S726" s="73" t="n"/>
      <c r="T726" s="73" t="n"/>
      <c r="U726" s="73" t="n"/>
      <c r="V726" s="73" t="n"/>
      <c r="W726" s="73" t="n"/>
      <c r="X726" s="73" t="n"/>
    </row>
    <row r="727">
      <c r="A727" s="46" t="n"/>
      <c r="B727" s="46" t="n"/>
      <c r="C727" s="46"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row>
    <row r="728">
      <c r="A728" s="73" t="n"/>
      <c r="B728" s="73" t="n"/>
      <c r="C728" s="73" t="n"/>
      <c r="D728" s="73" t="n"/>
      <c r="E728" s="73" t="n"/>
      <c r="F728" s="73" t="n"/>
      <c r="G728" s="73" t="n"/>
      <c r="H728" s="73" t="n"/>
      <c r="I728" s="73" t="n"/>
      <c r="J728" s="73" t="n"/>
      <c r="K728" s="73" t="n"/>
      <c r="L728" s="73" t="n"/>
      <c r="M728" s="73" t="n"/>
      <c r="N728" s="73" t="n"/>
      <c r="O728" s="73" t="n"/>
      <c r="P728" s="73" t="n"/>
      <c r="Q728" s="73" t="n"/>
      <c r="R728" s="73" t="n"/>
      <c r="S728" s="73" t="n"/>
      <c r="T728" s="73" t="n"/>
      <c r="U728" s="73" t="n"/>
      <c r="V728" s="73" t="n"/>
      <c r="W728" s="73" t="n"/>
      <c r="X728" s="73" t="n"/>
    </row>
    <row r="729">
      <c r="A729" s="46" t="n"/>
      <c r="B729" s="46" t="n"/>
      <c r="C729" s="46"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row>
    <row r="730">
      <c r="A730" s="73" t="n"/>
      <c r="B730" s="73" t="n"/>
      <c r="C730" s="73" t="n"/>
      <c r="D730" s="73" t="n"/>
      <c r="E730" s="73" t="n"/>
      <c r="F730" s="73" t="n"/>
      <c r="G730" s="73" t="n"/>
      <c r="H730" s="73" t="n"/>
      <c r="I730" s="73" t="n"/>
      <c r="J730" s="73" t="n"/>
      <c r="K730" s="73" t="n"/>
      <c r="L730" s="73" t="n"/>
      <c r="M730" s="73" t="n"/>
      <c r="N730" s="73" t="n"/>
      <c r="O730" s="73" t="n"/>
      <c r="P730" s="73" t="n"/>
      <c r="Q730" s="73" t="n"/>
      <c r="R730" s="73" t="n"/>
      <c r="S730" s="73" t="n"/>
      <c r="T730" s="73" t="n"/>
      <c r="U730" s="73" t="n"/>
      <c r="V730" s="73" t="n"/>
      <c r="W730" s="73" t="n"/>
      <c r="X730" s="73" t="n"/>
    </row>
    <row r="731">
      <c r="A731" s="46" t="n"/>
      <c r="B731" s="46" t="n"/>
      <c r="C731" s="46"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row>
    <row r="732">
      <c r="A732" s="73" t="n"/>
      <c r="B732" s="73" t="n"/>
      <c r="C732" s="73" t="n"/>
      <c r="D732" s="73" t="n"/>
      <c r="E732" s="73" t="n"/>
      <c r="F732" s="73" t="n"/>
      <c r="G732" s="73" t="n"/>
      <c r="H732" s="73" t="n"/>
      <c r="I732" s="73" t="n"/>
      <c r="J732" s="73" t="n"/>
      <c r="K732" s="73" t="n"/>
      <c r="L732" s="73" t="n"/>
      <c r="M732" s="73" t="n"/>
      <c r="N732" s="73" t="n"/>
      <c r="O732" s="73" t="n"/>
      <c r="P732" s="73" t="n"/>
      <c r="Q732" s="73" t="n"/>
      <c r="R732" s="73" t="n"/>
      <c r="S732" s="73" t="n"/>
      <c r="T732" s="73" t="n"/>
      <c r="U732" s="73" t="n"/>
      <c r="V732" s="73" t="n"/>
      <c r="W732" s="73" t="n"/>
      <c r="X732" s="73" t="n"/>
    </row>
    <row r="733">
      <c r="A733" s="46" t="n"/>
      <c r="B733" s="46" t="n"/>
      <c r="C733" s="46"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row>
    <row r="734">
      <c r="A734" s="73" t="n"/>
      <c r="B734" s="73" t="n"/>
      <c r="C734" s="73" t="n"/>
      <c r="D734" s="73" t="n"/>
      <c r="E734" s="73" t="n"/>
      <c r="F734" s="73" t="n"/>
      <c r="G734" s="73" t="n"/>
      <c r="H734" s="73" t="n"/>
      <c r="I734" s="73" t="n"/>
      <c r="J734" s="73" t="n"/>
      <c r="K734" s="73" t="n"/>
      <c r="L734" s="73" t="n"/>
      <c r="M734" s="73" t="n"/>
      <c r="N734" s="73" t="n"/>
      <c r="O734" s="73" t="n"/>
      <c r="P734" s="73" t="n"/>
      <c r="Q734" s="73" t="n"/>
      <c r="R734" s="73" t="n"/>
      <c r="S734" s="73" t="n"/>
      <c r="T734" s="73" t="n"/>
      <c r="U734" s="73" t="n"/>
      <c r="V734" s="73" t="n"/>
      <c r="W734" s="73" t="n"/>
      <c r="X734" s="73" t="n"/>
    </row>
    <row r="735">
      <c r="A735" s="46" t="n"/>
      <c r="B735" s="46" t="n"/>
      <c r="C735" s="46"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row>
    <row r="736">
      <c r="A736" s="73" t="n"/>
      <c r="B736" s="73" t="n"/>
      <c r="C736" s="73" t="n"/>
      <c r="D736" s="73" t="n"/>
      <c r="E736" s="73" t="n"/>
      <c r="F736" s="73" t="n"/>
      <c r="G736" s="73" t="n"/>
      <c r="H736" s="73" t="n"/>
      <c r="I736" s="73" t="n"/>
      <c r="J736" s="73" t="n"/>
      <c r="K736" s="73" t="n"/>
      <c r="L736" s="73" t="n"/>
      <c r="M736" s="73" t="n"/>
      <c r="N736" s="73" t="n"/>
      <c r="O736" s="73" t="n"/>
      <c r="P736" s="73" t="n"/>
      <c r="Q736" s="73" t="n"/>
      <c r="R736" s="73" t="n"/>
      <c r="S736" s="73" t="n"/>
      <c r="T736" s="73" t="n"/>
      <c r="U736" s="73" t="n"/>
      <c r="V736" s="73" t="n"/>
      <c r="W736" s="73" t="n"/>
      <c r="X736" s="73" t="n"/>
    </row>
    <row r="737">
      <c r="A737" s="46" t="n"/>
      <c r="B737" s="46" t="n"/>
      <c r="C737" s="46"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row>
    <row r="738">
      <c r="A738" s="73" t="n"/>
      <c r="B738" s="73" t="n"/>
      <c r="C738" s="73" t="n"/>
      <c r="D738" s="73" t="n"/>
      <c r="E738" s="73" t="n"/>
      <c r="F738" s="73" t="n"/>
      <c r="G738" s="73" t="n"/>
      <c r="H738" s="73" t="n"/>
      <c r="I738" s="73" t="n"/>
      <c r="J738" s="73" t="n"/>
      <c r="K738" s="73" t="n"/>
      <c r="L738" s="73" t="n"/>
      <c r="M738" s="73" t="n"/>
      <c r="N738" s="73" t="n"/>
      <c r="O738" s="73" t="n"/>
      <c r="P738" s="73" t="n"/>
      <c r="Q738" s="73" t="n"/>
      <c r="R738" s="73" t="n"/>
      <c r="S738" s="73" t="n"/>
      <c r="T738" s="73" t="n"/>
      <c r="U738" s="73" t="n"/>
      <c r="V738" s="73" t="n"/>
      <c r="W738" s="73" t="n"/>
      <c r="X738" s="73" t="n"/>
    </row>
    <row r="739">
      <c r="A739" s="46" t="n"/>
      <c r="B739" s="46" t="n"/>
      <c r="C739" s="46"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row>
    <row r="740">
      <c r="A740" s="73" t="n"/>
      <c r="B740" s="73" t="n"/>
      <c r="C740" s="73" t="n"/>
      <c r="D740" s="73" t="n"/>
      <c r="E740" s="73" t="n"/>
      <c r="F740" s="73" t="n"/>
      <c r="G740" s="73" t="n"/>
      <c r="H740" s="73" t="n"/>
      <c r="I740" s="73" t="n"/>
      <c r="J740" s="73" t="n"/>
      <c r="K740" s="73" t="n"/>
      <c r="L740" s="73" t="n"/>
      <c r="M740" s="73" t="n"/>
      <c r="N740" s="73" t="n"/>
      <c r="O740" s="73" t="n"/>
      <c r="P740" s="73" t="n"/>
      <c r="Q740" s="73" t="n"/>
      <c r="R740" s="73" t="n"/>
      <c r="S740" s="73" t="n"/>
      <c r="T740" s="73" t="n"/>
      <c r="U740" s="73" t="n"/>
      <c r="V740" s="73" t="n"/>
      <c r="W740" s="73" t="n"/>
      <c r="X740" s="73" t="n"/>
    </row>
    <row r="741">
      <c r="A741" s="46" t="n"/>
      <c r="B741" s="46" t="n"/>
      <c r="C741" s="46"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row>
    <row r="742">
      <c r="A742" s="73" t="n"/>
      <c r="B742" s="73" t="n"/>
      <c r="C742" s="73" t="n"/>
      <c r="D742" s="73" t="n"/>
      <c r="E742" s="73" t="n"/>
      <c r="F742" s="73" t="n"/>
      <c r="G742" s="73" t="n"/>
      <c r="H742" s="73" t="n"/>
      <c r="I742" s="73" t="n"/>
      <c r="J742" s="73" t="n"/>
      <c r="K742" s="73" t="n"/>
      <c r="L742" s="73" t="n"/>
      <c r="M742" s="73" t="n"/>
      <c r="N742" s="73" t="n"/>
      <c r="O742" s="73" t="n"/>
      <c r="P742" s="73" t="n"/>
      <c r="Q742" s="73" t="n"/>
      <c r="R742" s="73" t="n"/>
      <c r="S742" s="73" t="n"/>
      <c r="T742" s="73" t="n"/>
      <c r="U742" s="73" t="n"/>
      <c r="V742" s="73" t="n"/>
      <c r="W742" s="73" t="n"/>
      <c r="X742" s="73" t="n"/>
    </row>
    <row r="743">
      <c r="A743" s="46" t="n"/>
      <c r="B743" s="46" t="n"/>
      <c r="C743" s="46"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row>
    <row r="744">
      <c r="A744" s="73" t="n"/>
      <c r="B744" s="73" t="n"/>
      <c r="C744" s="73" t="n"/>
      <c r="D744" s="73" t="n"/>
      <c r="E744" s="73" t="n"/>
      <c r="F744" s="73" t="n"/>
      <c r="G744" s="73" t="n"/>
      <c r="H744" s="73" t="n"/>
      <c r="I744" s="73" t="n"/>
      <c r="J744" s="73" t="n"/>
      <c r="K744" s="73" t="n"/>
      <c r="L744" s="73" t="n"/>
      <c r="M744" s="73" t="n"/>
      <c r="N744" s="73" t="n"/>
      <c r="O744" s="73" t="n"/>
      <c r="P744" s="73" t="n"/>
      <c r="Q744" s="73" t="n"/>
      <c r="R744" s="73" t="n"/>
      <c r="S744" s="73" t="n"/>
      <c r="T744" s="73" t="n"/>
      <c r="U744" s="73" t="n"/>
      <c r="V744" s="73" t="n"/>
      <c r="W744" s="73" t="n"/>
      <c r="X744" s="73" t="n"/>
    </row>
    <row r="745">
      <c r="A745" s="46" t="n"/>
      <c r="B745" s="46" t="n"/>
      <c r="C745" s="46"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row>
    <row r="746">
      <c r="A746" s="73" t="n"/>
      <c r="B746" s="73" t="n"/>
      <c r="C746" s="73" t="n"/>
      <c r="D746" s="73" t="n"/>
      <c r="E746" s="73" t="n"/>
      <c r="F746" s="73" t="n"/>
      <c r="G746" s="73" t="n"/>
      <c r="H746" s="73" t="n"/>
      <c r="I746" s="73" t="n"/>
      <c r="J746" s="73" t="n"/>
      <c r="K746" s="73" t="n"/>
      <c r="L746" s="73" t="n"/>
      <c r="M746" s="73" t="n"/>
      <c r="N746" s="73" t="n"/>
      <c r="O746" s="73" t="n"/>
      <c r="P746" s="73" t="n"/>
      <c r="Q746" s="73" t="n"/>
      <c r="R746" s="73" t="n"/>
      <c r="S746" s="73" t="n"/>
      <c r="T746" s="73" t="n"/>
      <c r="U746" s="73" t="n"/>
      <c r="V746" s="73" t="n"/>
      <c r="W746" s="73" t="n"/>
      <c r="X746" s="73" t="n"/>
    </row>
    <row r="747">
      <c r="A747" s="46" t="n"/>
      <c r="B747" s="46" t="n"/>
      <c r="C747" s="46"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row>
    <row r="748">
      <c r="A748" s="73" t="n"/>
      <c r="B748" s="73" t="n"/>
      <c r="C748" s="73" t="n"/>
      <c r="D748" s="73" t="n"/>
      <c r="E748" s="73" t="n"/>
      <c r="F748" s="73" t="n"/>
      <c r="G748" s="73" t="n"/>
      <c r="H748" s="73" t="n"/>
      <c r="I748" s="73" t="n"/>
      <c r="J748" s="73" t="n"/>
      <c r="K748" s="73" t="n"/>
      <c r="L748" s="73" t="n"/>
      <c r="M748" s="73" t="n"/>
      <c r="N748" s="73" t="n"/>
      <c r="O748" s="73" t="n"/>
      <c r="P748" s="73" t="n"/>
      <c r="Q748" s="73" t="n"/>
      <c r="R748" s="73" t="n"/>
      <c r="S748" s="73" t="n"/>
      <c r="T748" s="73" t="n"/>
      <c r="U748" s="73" t="n"/>
      <c r="V748" s="73" t="n"/>
      <c r="W748" s="73" t="n"/>
      <c r="X748" s="73" t="n"/>
    </row>
    <row r="749">
      <c r="A749" s="46" t="n"/>
      <c r="B749" s="46" t="n"/>
      <c r="C749" s="46"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row>
    <row r="750">
      <c r="A750" s="73" t="n"/>
      <c r="B750" s="73" t="n"/>
      <c r="C750" s="73" t="n"/>
      <c r="D750" s="73" t="n"/>
      <c r="E750" s="73" t="n"/>
      <c r="F750" s="73" t="n"/>
      <c r="G750" s="73" t="n"/>
      <c r="H750" s="73" t="n"/>
      <c r="I750" s="73" t="n"/>
      <c r="J750" s="73" t="n"/>
      <c r="K750" s="73" t="n"/>
      <c r="L750" s="73" t="n"/>
      <c r="M750" s="73" t="n"/>
      <c r="N750" s="73" t="n"/>
      <c r="O750" s="73" t="n"/>
      <c r="P750" s="73" t="n"/>
      <c r="Q750" s="73" t="n"/>
      <c r="R750" s="73" t="n"/>
      <c r="S750" s="73" t="n"/>
      <c r="T750" s="73" t="n"/>
      <c r="U750" s="73" t="n"/>
      <c r="V750" s="73" t="n"/>
      <c r="W750" s="73" t="n"/>
      <c r="X750" s="73" t="n"/>
    </row>
    <row r="751">
      <c r="A751" s="46" t="n"/>
      <c r="B751" s="46" t="n"/>
      <c r="C751" s="46"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row>
    <row r="752">
      <c r="A752" s="73" t="n"/>
      <c r="B752" s="73" t="n"/>
      <c r="C752" s="73" t="n"/>
      <c r="D752" s="73" t="n"/>
      <c r="E752" s="73" t="n"/>
      <c r="F752" s="73" t="n"/>
      <c r="G752" s="73" t="n"/>
      <c r="H752" s="73" t="n"/>
      <c r="I752" s="73" t="n"/>
      <c r="J752" s="73" t="n"/>
      <c r="K752" s="73" t="n"/>
      <c r="L752" s="73" t="n"/>
      <c r="M752" s="73" t="n"/>
      <c r="N752" s="73" t="n"/>
      <c r="O752" s="73" t="n"/>
      <c r="P752" s="73" t="n"/>
      <c r="Q752" s="73" t="n"/>
      <c r="R752" s="73" t="n"/>
      <c r="S752" s="73" t="n"/>
      <c r="T752" s="73" t="n"/>
      <c r="U752" s="73" t="n"/>
      <c r="V752" s="73" t="n"/>
      <c r="W752" s="73" t="n"/>
      <c r="X752" s="73" t="n"/>
    </row>
    <row r="753">
      <c r="A753" s="46" t="n"/>
      <c r="B753" s="46" t="n"/>
      <c r="C753" s="46"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row>
    <row r="754">
      <c r="A754" s="73" t="n"/>
      <c r="B754" s="73" t="n"/>
      <c r="C754" s="73" t="n"/>
      <c r="D754" s="73" t="n"/>
      <c r="E754" s="73" t="n"/>
      <c r="F754" s="73" t="n"/>
      <c r="G754" s="73" t="n"/>
      <c r="H754" s="73" t="n"/>
      <c r="I754" s="73" t="n"/>
      <c r="J754" s="73" t="n"/>
      <c r="K754" s="73" t="n"/>
      <c r="L754" s="73" t="n"/>
      <c r="M754" s="73" t="n"/>
      <c r="N754" s="73" t="n"/>
      <c r="O754" s="73" t="n"/>
      <c r="P754" s="73" t="n"/>
      <c r="Q754" s="73" t="n"/>
      <c r="R754" s="73" t="n"/>
      <c r="S754" s="73" t="n"/>
      <c r="T754" s="73" t="n"/>
      <c r="U754" s="73" t="n"/>
      <c r="V754" s="73" t="n"/>
      <c r="W754" s="73" t="n"/>
      <c r="X754" s="73" t="n"/>
    </row>
    <row r="755">
      <c r="A755" s="46" t="n"/>
      <c r="B755" s="46" t="n"/>
      <c r="C755" s="46"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row>
    <row r="756">
      <c r="A756" s="73" t="n"/>
      <c r="B756" s="73" t="n"/>
      <c r="C756" s="73" t="n"/>
      <c r="D756" s="73" t="n"/>
      <c r="E756" s="73" t="n"/>
      <c r="F756" s="73" t="n"/>
      <c r="G756" s="73" t="n"/>
      <c r="H756" s="73" t="n"/>
      <c r="I756" s="73" t="n"/>
      <c r="J756" s="73" t="n"/>
      <c r="K756" s="73" t="n"/>
      <c r="L756" s="73" t="n"/>
      <c r="M756" s="73" t="n"/>
      <c r="N756" s="73" t="n"/>
      <c r="O756" s="73" t="n"/>
      <c r="P756" s="73" t="n"/>
      <c r="Q756" s="73" t="n"/>
      <c r="R756" s="73" t="n"/>
      <c r="S756" s="73" t="n"/>
      <c r="T756" s="73" t="n"/>
      <c r="U756" s="73" t="n"/>
      <c r="V756" s="73" t="n"/>
      <c r="W756" s="73" t="n"/>
      <c r="X756" s="73" t="n"/>
    </row>
    <row r="757">
      <c r="A757" s="46" t="n"/>
      <c r="B757" s="46" t="n"/>
      <c r="C757" s="46"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row>
    <row r="758">
      <c r="A758" s="73" t="n"/>
      <c r="B758" s="73" t="n"/>
      <c r="C758" s="73" t="n"/>
      <c r="D758" s="73" t="n"/>
      <c r="E758" s="73" t="n"/>
      <c r="F758" s="73" t="n"/>
      <c r="G758" s="73" t="n"/>
      <c r="H758" s="73" t="n"/>
      <c r="I758" s="73" t="n"/>
      <c r="J758" s="73" t="n"/>
      <c r="K758" s="73" t="n"/>
      <c r="L758" s="73" t="n"/>
      <c r="M758" s="73" t="n"/>
      <c r="N758" s="73" t="n"/>
      <c r="O758" s="73" t="n"/>
      <c r="P758" s="73" t="n"/>
      <c r="Q758" s="73" t="n"/>
      <c r="R758" s="73" t="n"/>
      <c r="S758" s="73" t="n"/>
      <c r="T758" s="73" t="n"/>
      <c r="U758" s="73" t="n"/>
      <c r="V758" s="73" t="n"/>
      <c r="W758" s="73" t="n"/>
      <c r="X758" s="73" t="n"/>
    </row>
    <row r="759">
      <c r="A759" s="46" t="n"/>
      <c r="B759" s="46" t="n"/>
      <c r="C759" s="46"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row>
    <row r="760">
      <c r="A760" s="73" t="n"/>
      <c r="B760" s="73" t="n"/>
      <c r="C760" s="73" t="n"/>
      <c r="D760" s="73" t="n"/>
      <c r="E760" s="73" t="n"/>
      <c r="F760" s="73" t="n"/>
      <c r="G760" s="73" t="n"/>
      <c r="H760" s="73" t="n"/>
      <c r="I760" s="73" t="n"/>
      <c r="J760" s="73" t="n"/>
      <c r="K760" s="73" t="n"/>
      <c r="L760" s="73" t="n"/>
      <c r="M760" s="73" t="n"/>
      <c r="N760" s="73" t="n"/>
      <c r="O760" s="73" t="n"/>
      <c r="P760" s="73" t="n"/>
      <c r="Q760" s="73" t="n"/>
      <c r="R760" s="73" t="n"/>
      <c r="S760" s="73" t="n"/>
      <c r="T760" s="73" t="n"/>
      <c r="U760" s="73" t="n"/>
      <c r="V760" s="73" t="n"/>
      <c r="W760" s="73" t="n"/>
      <c r="X760" s="73" t="n"/>
    </row>
    <row r="761">
      <c r="A761" s="46" t="n"/>
      <c r="B761" s="46" t="n"/>
      <c r="C761" s="46"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row>
    <row r="762">
      <c r="A762" s="73" t="n"/>
      <c r="B762" s="73" t="n"/>
      <c r="C762" s="73" t="n"/>
      <c r="D762" s="73" t="n"/>
      <c r="E762" s="73" t="n"/>
      <c r="F762" s="73" t="n"/>
      <c r="G762" s="73" t="n"/>
      <c r="H762" s="73" t="n"/>
      <c r="I762" s="73" t="n"/>
      <c r="J762" s="73" t="n"/>
      <c r="K762" s="73" t="n"/>
      <c r="L762" s="73" t="n"/>
      <c r="M762" s="73" t="n"/>
      <c r="N762" s="73" t="n"/>
      <c r="O762" s="73" t="n"/>
      <c r="P762" s="73" t="n"/>
      <c r="Q762" s="73" t="n"/>
      <c r="R762" s="73" t="n"/>
      <c r="S762" s="73" t="n"/>
      <c r="T762" s="73" t="n"/>
      <c r="U762" s="73" t="n"/>
      <c r="V762" s="73" t="n"/>
      <c r="W762" s="73" t="n"/>
      <c r="X762" s="73" t="n"/>
    </row>
    <row r="763">
      <c r="A763" s="46" t="n"/>
      <c r="B763" s="46" t="n"/>
      <c r="C763" s="46"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row>
    <row r="764">
      <c r="A764" s="73" t="n"/>
      <c r="B764" s="73" t="n"/>
      <c r="C764" s="73" t="n"/>
      <c r="D764" s="73" t="n"/>
      <c r="E764" s="73" t="n"/>
      <c r="F764" s="73" t="n"/>
      <c r="G764" s="73" t="n"/>
      <c r="H764" s="73" t="n"/>
      <c r="I764" s="73" t="n"/>
      <c r="J764" s="73" t="n"/>
      <c r="K764" s="73" t="n"/>
      <c r="L764" s="73" t="n"/>
      <c r="M764" s="73" t="n"/>
      <c r="N764" s="73" t="n"/>
      <c r="O764" s="73" t="n"/>
      <c r="P764" s="73" t="n"/>
      <c r="Q764" s="73" t="n"/>
      <c r="R764" s="73" t="n"/>
      <c r="S764" s="73" t="n"/>
      <c r="T764" s="73" t="n"/>
      <c r="U764" s="73" t="n"/>
      <c r="V764" s="73" t="n"/>
      <c r="W764" s="73" t="n"/>
      <c r="X764" s="73" t="n"/>
    </row>
    <row r="765">
      <c r="A765" s="46" t="n"/>
      <c r="B765" s="46" t="n"/>
      <c r="C765" s="46"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row>
    <row r="766">
      <c r="A766" s="73" t="n"/>
      <c r="B766" s="73" t="n"/>
      <c r="C766" s="73" t="n"/>
      <c r="D766" s="73" t="n"/>
      <c r="E766" s="73" t="n"/>
      <c r="F766" s="73" t="n"/>
      <c r="G766" s="73" t="n"/>
      <c r="H766" s="73" t="n"/>
      <c r="I766" s="73" t="n"/>
      <c r="J766" s="73" t="n"/>
      <c r="K766" s="73" t="n"/>
      <c r="L766" s="73" t="n"/>
      <c r="M766" s="73" t="n"/>
      <c r="N766" s="73" t="n"/>
      <c r="O766" s="73" t="n"/>
      <c r="P766" s="73" t="n"/>
      <c r="Q766" s="73" t="n"/>
      <c r="R766" s="73" t="n"/>
      <c r="S766" s="73" t="n"/>
      <c r="T766" s="73" t="n"/>
      <c r="U766" s="73" t="n"/>
      <c r="V766" s="73" t="n"/>
      <c r="W766" s="73" t="n"/>
      <c r="X766" s="73" t="n"/>
    </row>
    <row r="767">
      <c r="A767" s="46" t="n"/>
      <c r="B767" s="46" t="n"/>
      <c r="C767" s="46"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row>
    <row r="768">
      <c r="A768" s="73" t="n"/>
      <c r="B768" s="73" t="n"/>
      <c r="C768" s="73" t="n"/>
      <c r="D768" s="73" t="n"/>
      <c r="E768" s="73" t="n"/>
      <c r="F768" s="73" t="n"/>
      <c r="G768" s="73" t="n"/>
      <c r="H768" s="73" t="n"/>
      <c r="I768" s="73" t="n"/>
      <c r="J768" s="73" t="n"/>
      <c r="K768" s="73" t="n"/>
      <c r="L768" s="73" t="n"/>
      <c r="M768" s="73" t="n"/>
      <c r="N768" s="73" t="n"/>
      <c r="O768" s="73" t="n"/>
      <c r="P768" s="73" t="n"/>
      <c r="Q768" s="73" t="n"/>
      <c r="R768" s="73" t="n"/>
      <c r="S768" s="73" t="n"/>
      <c r="T768" s="73" t="n"/>
      <c r="U768" s="73" t="n"/>
      <c r="V768" s="73" t="n"/>
      <c r="W768" s="73" t="n"/>
      <c r="X768" s="73" t="n"/>
    </row>
    <row r="769">
      <c r="A769" s="46" t="n"/>
      <c r="B769" s="46" t="n"/>
      <c r="C769" s="46"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row>
    <row r="770">
      <c r="A770" s="73" t="n"/>
      <c r="B770" s="73" t="n"/>
      <c r="C770" s="73" t="n"/>
      <c r="D770" s="73" t="n"/>
      <c r="E770" s="73" t="n"/>
      <c r="F770" s="73" t="n"/>
      <c r="G770" s="73" t="n"/>
      <c r="H770" s="73" t="n"/>
      <c r="I770" s="73" t="n"/>
      <c r="J770" s="73" t="n"/>
      <c r="K770" s="73" t="n"/>
      <c r="L770" s="73" t="n"/>
      <c r="M770" s="73" t="n"/>
      <c r="N770" s="73" t="n"/>
      <c r="O770" s="73" t="n"/>
      <c r="P770" s="73" t="n"/>
      <c r="Q770" s="73" t="n"/>
      <c r="R770" s="73" t="n"/>
      <c r="S770" s="73" t="n"/>
      <c r="T770" s="73" t="n"/>
      <c r="U770" s="73" t="n"/>
      <c r="V770" s="73" t="n"/>
      <c r="W770" s="73" t="n"/>
      <c r="X770" s="73" t="n"/>
    </row>
    <row r="771">
      <c r="A771" s="46" t="n"/>
      <c r="B771" s="46" t="n"/>
      <c r="C771" s="46"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row>
    <row r="772">
      <c r="A772" s="73" t="n"/>
      <c r="B772" s="73" t="n"/>
      <c r="C772" s="73" t="n"/>
      <c r="D772" s="73" t="n"/>
      <c r="E772" s="73" t="n"/>
      <c r="F772" s="73" t="n"/>
      <c r="G772" s="73" t="n"/>
      <c r="H772" s="73" t="n"/>
      <c r="I772" s="73" t="n"/>
      <c r="J772" s="73" t="n"/>
      <c r="K772" s="73" t="n"/>
      <c r="L772" s="73" t="n"/>
      <c r="M772" s="73" t="n"/>
      <c r="N772" s="73" t="n"/>
      <c r="O772" s="73" t="n"/>
      <c r="P772" s="73" t="n"/>
      <c r="Q772" s="73" t="n"/>
      <c r="R772" s="73" t="n"/>
      <c r="S772" s="73" t="n"/>
      <c r="T772" s="73" t="n"/>
      <c r="U772" s="73" t="n"/>
      <c r="V772" s="73" t="n"/>
      <c r="W772" s="73" t="n"/>
      <c r="X772" s="73" t="n"/>
    </row>
    <row r="773">
      <c r="A773" s="46" t="n"/>
      <c r="B773" s="46" t="n"/>
      <c r="C773" s="46"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row>
    <row r="774">
      <c r="A774" s="73" t="n"/>
      <c r="B774" s="73" t="n"/>
      <c r="C774" s="73" t="n"/>
      <c r="D774" s="73" t="n"/>
      <c r="E774" s="73" t="n"/>
      <c r="F774" s="73" t="n"/>
      <c r="G774" s="73" t="n"/>
      <c r="H774" s="73" t="n"/>
      <c r="I774" s="73" t="n"/>
      <c r="J774" s="73" t="n"/>
      <c r="K774" s="73" t="n"/>
      <c r="L774" s="73" t="n"/>
      <c r="M774" s="73" t="n"/>
      <c r="N774" s="73" t="n"/>
      <c r="O774" s="73" t="n"/>
      <c r="P774" s="73" t="n"/>
      <c r="Q774" s="73" t="n"/>
      <c r="R774" s="73" t="n"/>
      <c r="S774" s="73" t="n"/>
      <c r="T774" s="73" t="n"/>
      <c r="U774" s="73" t="n"/>
      <c r="V774" s="73" t="n"/>
      <c r="W774" s="73" t="n"/>
      <c r="X774" s="73" t="n"/>
    </row>
    <row r="775">
      <c r="A775" s="46" t="n"/>
      <c r="B775" s="46" t="n"/>
      <c r="C775" s="46"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row>
    <row r="776">
      <c r="A776" s="73" t="n"/>
      <c r="B776" s="73" t="n"/>
      <c r="C776" s="73" t="n"/>
      <c r="D776" s="73" t="n"/>
      <c r="E776" s="73" t="n"/>
      <c r="F776" s="73" t="n"/>
      <c r="G776" s="73" t="n"/>
      <c r="H776" s="73" t="n"/>
      <c r="I776" s="73" t="n"/>
      <c r="J776" s="73" t="n"/>
      <c r="K776" s="73" t="n"/>
      <c r="L776" s="73" t="n"/>
      <c r="M776" s="73" t="n"/>
      <c r="N776" s="73" t="n"/>
      <c r="O776" s="73" t="n"/>
      <c r="P776" s="73" t="n"/>
      <c r="Q776" s="73" t="n"/>
      <c r="R776" s="73" t="n"/>
      <c r="S776" s="73" t="n"/>
      <c r="T776" s="73" t="n"/>
      <c r="U776" s="73" t="n"/>
      <c r="V776" s="73" t="n"/>
      <c r="W776" s="73" t="n"/>
      <c r="X776" s="73" t="n"/>
    </row>
    <row r="777">
      <c r="A777" s="46" t="n"/>
      <c r="B777" s="46" t="n"/>
      <c r="C777" s="46"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row>
    <row r="778">
      <c r="A778" s="73" t="n"/>
      <c r="B778" s="73" t="n"/>
      <c r="C778" s="73" t="n"/>
      <c r="D778" s="73" t="n"/>
      <c r="E778" s="73" t="n"/>
      <c r="F778" s="73" t="n"/>
      <c r="G778" s="73" t="n"/>
      <c r="H778" s="73" t="n"/>
      <c r="I778" s="73" t="n"/>
      <c r="J778" s="73" t="n"/>
      <c r="K778" s="73" t="n"/>
      <c r="L778" s="73" t="n"/>
      <c r="M778" s="73" t="n"/>
      <c r="N778" s="73" t="n"/>
      <c r="O778" s="73" t="n"/>
      <c r="P778" s="73" t="n"/>
      <c r="Q778" s="73" t="n"/>
      <c r="R778" s="73" t="n"/>
      <c r="S778" s="73" t="n"/>
      <c r="T778" s="73" t="n"/>
      <c r="U778" s="73" t="n"/>
      <c r="V778" s="73" t="n"/>
      <c r="W778" s="73" t="n"/>
      <c r="X778" s="73" t="n"/>
    </row>
    <row r="779">
      <c r="A779" s="46" t="n"/>
      <c r="B779" s="46" t="n"/>
      <c r="C779" s="46"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row>
    <row r="780">
      <c r="A780" s="73" t="n"/>
      <c r="B780" s="73" t="n"/>
      <c r="C780" s="73" t="n"/>
      <c r="D780" s="73" t="n"/>
      <c r="E780" s="73" t="n"/>
      <c r="F780" s="73" t="n"/>
      <c r="G780" s="73" t="n"/>
      <c r="H780" s="73" t="n"/>
      <c r="I780" s="73" t="n"/>
      <c r="J780" s="73" t="n"/>
      <c r="K780" s="73" t="n"/>
      <c r="L780" s="73" t="n"/>
      <c r="M780" s="73" t="n"/>
      <c r="N780" s="73" t="n"/>
      <c r="O780" s="73" t="n"/>
      <c r="P780" s="73" t="n"/>
      <c r="Q780" s="73" t="n"/>
      <c r="R780" s="73" t="n"/>
      <c r="S780" s="73" t="n"/>
      <c r="T780" s="73" t="n"/>
      <c r="U780" s="73" t="n"/>
      <c r="V780" s="73" t="n"/>
      <c r="W780" s="73" t="n"/>
      <c r="X780" s="73" t="n"/>
    </row>
    <row r="781">
      <c r="A781" s="46" t="n"/>
      <c r="B781" s="46" t="n"/>
      <c r="C781" s="46"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row>
    <row r="782">
      <c r="A782" s="73" t="n"/>
      <c r="B782" s="73" t="n"/>
      <c r="C782" s="73" t="n"/>
      <c r="D782" s="73" t="n"/>
      <c r="E782" s="73" t="n"/>
      <c r="F782" s="73" t="n"/>
      <c r="G782" s="73" t="n"/>
      <c r="H782" s="73" t="n"/>
      <c r="I782" s="73" t="n"/>
      <c r="J782" s="73" t="n"/>
      <c r="K782" s="73" t="n"/>
      <c r="L782" s="73" t="n"/>
      <c r="M782" s="73" t="n"/>
      <c r="N782" s="73" t="n"/>
      <c r="O782" s="73" t="n"/>
      <c r="P782" s="73" t="n"/>
      <c r="Q782" s="73" t="n"/>
      <c r="R782" s="73" t="n"/>
      <c r="S782" s="73" t="n"/>
      <c r="T782" s="73" t="n"/>
      <c r="U782" s="73" t="n"/>
      <c r="V782" s="73" t="n"/>
      <c r="W782" s="73" t="n"/>
      <c r="X782" s="73" t="n"/>
    </row>
    <row r="783">
      <c r="A783" s="46" t="n"/>
      <c r="B783" s="46" t="n"/>
      <c r="C783" s="46"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row>
    <row r="784">
      <c r="A784" s="73" t="n"/>
      <c r="B784" s="73" t="n"/>
      <c r="C784" s="73" t="n"/>
      <c r="D784" s="73" t="n"/>
      <c r="E784" s="73" t="n"/>
      <c r="F784" s="73" t="n"/>
      <c r="G784" s="73" t="n"/>
      <c r="H784" s="73" t="n"/>
      <c r="I784" s="73" t="n"/>
      <c r="J784" s="73" t="n"/>
      <c r="K784" s="73" t="n"/>
      <c r="L784" s="73" t="n"/>
      <c r="M784" s="73" t="n"/>
      <c r="N784" s="73" t="n"/>
      <c r="O784" s="73" t="n"/>
      <c r="P784" s="73" t="n"/>
      <c r="Q784" s="73" t="n"/>
      <c r="R784" s="73" t="n"/>
      <c r="S784" s="73" t="n"/>
      <c r="T784" s="73" t="n"/>
      <c r="U784" s="73" t="n"/>
      <c r="V784" s="73" t="n"/>
      <c r="W784" s="73" t="n"/>
      <c r="X784" s="73" t="n"/>
    </row>
    <row r="785">
      <c r="A785" s="46" t="n"/>
      <c r="B785" s="46" t="n"/>
      <c r="C785" s="46"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row>
    <row r="786">
      <c r="A786" s="73" t="n"/>
      <c r="B786" s="73" t="n"/>
      <c r="C786" s="73" t="n"/>
      <c r="D786" s="73" t="n"/>
      <c r="E786" s="73" t="n"/>
      <c r="F786" s="73" t="n"/>
      <c r="G786" s="73" t="n"/>
      <c r="H786" s="73" t="n"/>
      <c r="I786" s="73" t="n"/>
      <c r="J786" s="73" t="n"/>
      <c r="K786" s="73" t="n"/>
      <c r="L786" s="73" t="n"/>
      <c r="M786" s="73" t="n"/>
      <c r="N786" s="73" t="n"/>
      <c r="O786" s="73" t="n"/>
      <c r="P786" s="73" t="n"/>
      <c r="Q786" s="73" t="n"/>
      <c r="R786" s="73" t="n"/>
      <c r="S786" s="73" t="n"/>
      <c r="T786" s="73" t="n"/>
      <c r="U786" s="73" t="n"/>
      <c r="V786" s="73" t="n"/>
      <c r="W786" s="73" t="n"/>
      <c r="X786" s="73" t="n"/>
    </row>
    <row r="787">
      <c r="A787" s="46" t="n"/>
      <c r="B787" s="46" t="n"/>
      <c r="C787" s="46"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row>
    <row r="788">
      <c r="A788" s="73" t="n"/>
      <c r="B788" s="73" t="n"/>
      <c r="C788" s="73" t="n"/>
      <c r="D788" s="73" t="n"/>
      <c r="E788" s="73" t="n"/>
      <c r="F788" s="73" t="n"/>
      <c r="G788" s="73" t="n"/>
      <c r="H788" s="73" t="n"/>
      <c r="I788" s="73" t="n"/>
      <c r="J788" s="73" t="n"/>
      <c r="K788" s="73" t="n"/>
      <c r="L788" s="73" t="n"/>
      <c r="M788" s="73" t="n"/>
      <c r="N788" s="73" t="n"/>
      <c r="O788" s="73" t="n"/>
      <c r="P788" s="73" t="n"/>
      <c r="Q788" s="73" t="n"/>
      <c r="R788" s="73" t="n"/>
      <c r="S788" s="73" t="n"/>
      <c r="T788" s="73" t="n"/>
      <c r="U788" s="73" t="n"/>
      <c r="V788" s="73" t="n"/>
      <c r="W788" s="73" t="n"/>
      <c r="X788" s="73" t="n"/>
    </row>
    <row r="789">
      <c r="A789" s="46" t="n"/>
      <c r="B789" s="46" t="n"/>
      <c r="C789" s="46"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row>
    <row r="790">
      <c r="A790" s="73" t="n"/>
      <c r="B790" s="73" t="n"/>
      <c r="C790" s="73" t="n"/>
      <c r="D790" s="73" t="n"/>
      <c r="E790" s="73" t="n"/>
      <c r="F790" s="73" t="n"/>
      <c r="G790" s="73" t="n"/>
      <c r="H790" s="73" t="n"/>
      <c r="I790" s="73" t="n"/>
      <c r="J790" s="73" t="n"/>
      <c r="K790" s="73" t="n"/>
      <c r="L790" s="73" t="n"/>
      <c r="M790" s="73" t="n"/>
      <c r="N790" s="73" t="n"/>
      <c r="O790" s="73" t="n"/>
      <c r="P790" s="73" t="n"/>
      <c r="Q790" s="73" t="n"/>
      <c r="R790" s="73" t="n"/>
      <c r="S790" s="73" t="n"/>
      <c r="T790" s="73" t="n"/>
      <c r="U790" s="73" t="n"/>
      <c r="V790" s="73" t="n"/>
      <c r="W790" s="73" t="n"/>
      <c r="X790" s="73" t="n"/>
    </row>
    <row r="791">
      <c r="A791" s="46" t="n"/>
      <c r="B791" s="46" t="n"/>
      <c r="C791" s="46"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row>
    <row r="792">
      <c r="A792" s="73" t="n"/>
      <c r="B792" s="73" t="n"/>
      <c r="C792" s="73" t="n"/>
      <c r="D792" s="73" t="n"/>
      <c r="E792" s="73" t="n"/>
      <c r="F792" s="73" t="n"/>
      <c r="G792" s="73" t="n"/>
      <c r="H792" s="73" t="n"/>
      <c r="I792" s="73" t="n"/>
      <c r="J792" s="73" t="n"/>
      <c r="K792" s="73" t="n"/>
      <c r="L792" s="73" t="n"/>
      <c r="M792" s="73" t="n"/>
      <c r="N792" s="73" t="n"/>
      <c r="O792" s="73" t="n"/>
      <c r="P792" s="73" t="n"/>
      <c r="Q792" s="73" t="n"/>
      <c r="R792" s="73" t="n"/>
      <c r="S792" s="73" t="n"/>
      <c r="T792" s="73" t="n"/>
      <c r="U792" s="73" t="n"/>
      <c r="V792" s="73" t="n"/>
      <c r="W792" s="73" t="n"/>
      <c r="X792" s="73" t="n"/>
    </row>
    <row r="793">
      <c r="A793" s="46" t="n"/>
      <c r="B793" s="46" t="n"/>
      <c r="C793" s="46"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row>
    <row r="794">
      <c r="A794" s="73" t="n"/>
      <c r="B794" s="73" t="n"/>
      <c r="C794" s="73" t="n"/>
      <c r="D794" s="73" t="n"/>
      <c r="E794" s="73" t="n"/>
      <c r="F794" s="73" t="n"/>
      <c r="G794" s="73" t="n"/>
      <c r="H794" s="73" t="n"/>
      <c r="I794" s="73" t="n"/>
      <c r="J794" s="73" t="n"/>
      <c r="K794" s="73" t="n"/>
      <c r="L794" s="73" t="n"/>
      <c r="M794" s="73" t="n"/>
      <c r="N794" s="73" t="n"/>
      <c r="O794" s="73" t="n"/>
      <c r="P794" s="73" t="n"/>
      <c r="Q794" s="73" t="n"/>
      <c r="R794" s="73" t="n"/>
      <c r="S794" s="73" t="n"/>
      <c r="T794" s="73" t="n"/>
      <c r="U794" s="73" t="n"/>
      <c r="V794" s="73" t="n"/>
      <c r="W794" s="73" t="n"/>
      <c r="X794" s="73" t="n"/>
    </row>
    <row r="795">
      <c r="A795" s="46" t="n"/>
      <c r="B795" s="46" t="n"/>
      <c r="C795" s="46"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row>
    <row r="796">
      <c r="A796" s="73" t="n"/>
      <c r="B796" s="73" t="n"/>
      <c r="C796" s="73" t="n"/>
      <c r="D796" s="73" t="n"/>
      <c r="E796" s="73" t="n"/>
      <c r="F796" s="73" t="n"/>
      <c r="G796" s="73" t="n"/>
      <c r="H796" s="73" t="n"/>
      <c r="I796" s="73" t="n"/>
      <c r="J796" s="73" t="n"/>
      <c r="K796" s="73" t="n"/>
      <c r="L796" s="73" t="n"/>
      <c r="M796" s="73" t="n"/>
      <c r="N796" s="73" t="n"/>
      <c r="O796" s="73" t="n"/>
      <c r="P796" s="73" t="n"/>
      <c r="Q796" s="73" t="n"/>
      <c r="R796" s="73" t="n"/>
      <c r="S796" s="73" t="n"/>
      <c r="T796" s="73" t="n"/>
      <c r="U796" s="73" t="n"/>
      <c r="V796" s="73" t="n"/>
      <c r="W796" s="73" t="n"/>
      <c r="X796" s="73" t="n"/>
    </row>
    <row r="797">
      <c r="A797" s="46" t="n"/>
      <c r="B797" s="46" t="n"/>
      <c r="C797" s="46"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row>
    <row r="798">
      <c r="A798" s="73" t="n"/>
      <c r="B798" s="73" t="n"/>
      <c r="C798" s="73" t="n"/>
      <c r="D798" s="73" t="n"/>
      <c r="E798" s="73" t="n"/>
      <c r="F798" s="73" t="n"/>
      <c r="G798" s="73" t="n"/>
      <c r="H798" s="73" t="n"/>
      <c r="I798" s="73" t="n"/>
      <c r="J798" s="73" t="n"/>
      <c r="K798" s="73" t="n"/>
      <c r="L798" s="73" t="n"/>
      <c r="M798" s="73" t="n"/>
      <c r="N798" s="73" t="n"/>
      <c r="O798" s="73" t="n"/>
      <c r="P798" s="73" t="n"/>
      <c r="Q798" s="73" t="n"/>
      <c r="R798" s="73" t="n"/>
      <c r="S798" s="73" t="n"/>
      <c r="T798" s="73" t="n"/>
      <c r="U798" s="73" t="n"/>
      <c r="V798" s="73" t="n"/>
      <c r="W798" s="73" t="n"/>
      <c r="X798" s="73" t="n"/>
    </row>
    <row r="799">
      <c r="A799" s="46" t="n"/>
      <c r="B799" s="46" t="n"/>
      <c r="C799" s="46"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row>
    <row r="800">
      <c r="A800" s="73" t="n"/>
      <c r="B800" s="73" t="n"/>
      <c r="C800" s="73" t="n"/>
      <c r="D800" s="73" t="n"/>
      <c r="E800" s="73" t="n"/>
      <c r="F800" s="73" t="n"/>
      <c r="G800" s="73" t="n"/>
      <c r="H800" s="73" t="n"/>
      <c r="I800" s="73" t="n"/>
      <c r="J800" s="73" t="n"/>
      <c r="K800" s="73" t="n"/>
      <c r="L800" s="73" t="n"/>
      <c r="M800" s="73" t="n"/>
      <c r="N800" s="73" t="n"/>
      <c r="O800" s="73" t="n"/>
      <c r="P800" s="73" t="n"/>
      <c r="Q800" s="73" t="n"/>
      <c r="R800" s="73" t="n"/>
      <c r="S800" s="73" t="n"/>
      <c r="T800" s="73" t="n"/>
      <c r="U800" s="73" t="n"/>
      <c r="V800" s="73" t="n"/>
      <c r="W800" s="73" t="n"/>
      <c r="X800" s="73" t="n"/>
    </row>
    <row r="801">
      <c r="A801" s="46" t="n"/>
      <c r="B801" s="46" t="n"/>
      <c r="C801" s="46"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row>
    <row r="802">
      <c r="A802" s="73" t="n"/>
      <c r="B802" s="73" t="n"/>
      <c r="C802" s="73" t="n"/>
      <c r="D802" s="73" t="n"/>
      <c r="E802" s="73" t="n"/>
      <c r="F802" s="73" t="n"/>
      <c r="G802" s="73" t="n"/>
      <c r="H802" s="73" t="n"/>
      <c r="I802" s="73" t="n"/>
      <c r="J802" s="73" t="n"/>
      <c r="K802" s="73" t="n"/>
      <c r="L802" s="73" t="n"/>
      <c r="M802" s="73" t="n"/>
      <c r="N802" s="73" t="n"/>
      <c r="O802" s="73" t="n"/>
      <c r="P802" s="73" t="n"/>
      <c r="Q802" s="73" t="n"/>
      <c r="R802" s="73" t="n"/>
      <c r="S802" s="73" t="n"/>
      <c r="T802" s="73" t="n"/>
      <c r="U802" s="73" t="n"/>
      <c r="V802" s="73" t="n"/>
      <c r="W802" s="73" t="n"/>
      <c r="X802" s="73" t="n"/>
    </row>
    <row r="803">
      <c r="A803" s="46" t="n"/>
      <c r="B803" s="46" t="n"/>
      <c r="C803" s="46"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row>
    <row r="804">
      <c r="A804" s="73" t="n"/>
      <c r="B804" s="73" t="n"/>
      <c r="C804" s="73" t="n"/>
      <c r="D804" s="73" t="n"/>
      <c r="E804" s="73" t="n"/>
      <c r="F804" s="73" t="n"/>
      <c r="G804" s="73" t="n"/>
      <c r="H804" s="73" t="n"/>
      <c r="I804" s="73" t="n"/>
      <c r="J804" s="73" t="n"/>
      <c r="K804" s="73" t="n"/>
      <c r="L804" s="73" t="n"/>
      <c r="M804" s="73" t="n"/>
      <c r="N804" s="73" t="n"/>
      <c r="O804" s="73" t="n"/>
      <c r="P804" s="73" t="n"/>
      <c r="Q804" s="73" t="n"/>
      <c r="R804" s="73" t="n"/>
      <c r="S804" s="73" t="n"/>
      <c r="T804" s="73" t="n"/>
      <c r="U804" s="73" t="n"/>
      <c r="V804" s="73" t="n"/>
      <c r="W804" s="73" t="n"/>
      <c r="X804" s="73" t="n"/>
    </row>
    <row r="805">
      <c r="A805" s="46" t="n"/>
      <c r="B805" s="46" t="n"/>
      <c r="C805" s="46"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row>
    <row r="806">
      <c r="A806" s="73" t="n"/>
      <c r="B806" s="73" t="n"/>
      <c r="C806" s="73" t="n"/>
      <c r="D806" s="73" t="n"/>
      <c r="E806" s="73" t="n"/>
      <c r="F806" s="73" t="n"/>
      <c r="G806" s="73" t="n"/>
      <c r="H806" s="73" t="n"/>
      <c r="I806" s="73" t="n"/>
      <c r="J806" s="73" t="n"/>
      <c r="K806" s="73" t="n"/>
      <c r="L806" s="73" t="n"/>
      <c r="M806" s="73" t="n"/>
      <c r="N806" s="73" t="n"/>
      <c r="O806" s="73" t="n"/>
      <c r="P806" s="73" t="n"/>
      <c r="Q806" s="73" t="n"/>
      <c r="R806" s="73" t="n"/>
      <c r="S806" s="73" t="n"/>
      <c r="T806" s="73" t="n"/>
      <c r="U806" s="73" t="n"/>
      <c r="V806" s="73" t="n"/>
      <c r="W806" s="73" t="n"/>
      <c r="X806" s="73" t="n"/>
    </row>
    <row r="807">
      <c r="A807" s="46" t="n"/>
      <c r="B807" s="46" t="n"/>
      <c r="C807" s="46"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row>
    <row r="808">
      <c r="A808" s="73" t="n"/>
      <c r="B808" s="73" t="n"/>
      <c r="C808" s="73" t="n"/>
      <c r="D808" s="73" t="n"/>
      <c r="E808" s="73" t="n"/>
      <c r="F808" s="73" t="n"/>
      <c r="G808" s="73" t="n"/>
      <c r="H808" s="73" t="n"/>
      <c r="I808" s="73" t="n"/>
      <c r="J808" s="73" t="n"/>
      <c r="K808" s="73" t="n"/>
      <c r="L808" s="73" t="n"/>
      <c r="M808" s="73" t="n"/>
      <c r="N808" s="73" t="n"/>
      <c r="O808" s="73" t="n"/>
      <c r="P808" s="73" t="n"/>
      <c r="Q808" s="73" t="n"/>
      <c r="R808" s="73" t="n"/>
      <c r="S808" s="73" t="n"/>
      <c r="T808" s="73" t="n"/>
      <c r="U808" s="73" t="n"/>
      <c r="V808" s="73" t="n"/>
      <c r="W808" s="73" t="n"/>
      <c r="X808" s="73" t="n"/>
    </row>
    <row r="809">
      <c r="A809" s="46" t="n"/>
      <c r="B809" s="46" t="n"/>
      <c r="C809" s="46"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row>
    <row r="810">
      <c r="A810" s="73" t="n"/>
      <c r="B810" s="73" t="n"/>
      <c r="C810" s="73" t="n"/>
      <c r="D810" s="73" t="n"/>
      <c r="E810" s="73" t="n"/>
      <c r="F810" s="73" t="n"/>
      <c r="G810" s="73" t="n"/>
      <c r="H810" s="73" t="n"/>
      <c r="I810" s="73" t="n"/>
      <c r="J810" s="73" t="n"/>
      <c r="K810" s="73" t="n"/>
      <c r="L810" s="73" t="n"/>
      <c r="M810" s="73" t="n"/>
      <c r="N810" s="73" t="n"/>
      <c r="O810" s="73" t="n"/>
      <c r="P810" s="73" t="n"/>
      <c r="Q810" s="73" t="n"/>
      <c r="R810" s="73" t="n"/>
      <c r="S810" s="73" t="n"/>
      <c r="T810" s="73" t="n"/>
      <c r="U810" s="73" t="n"/>
      <c r="V810" s="73" t="n"/>
      <c r="W810" s="73" t="n"/>
      <c r="X810" s="73" t="n"/>
    </row>
    <row r="811">
      <c r="A811" s="46" t="n"/>
      <c r="B811" s="46" t="n"/>
      <c r="C811" s="46"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row>
    <row r="812">
      <c r="A812" s="73" t="n"/>
      <c r="B812" s="73" t="n"/>
      <c r="C812" s="73" t="n"/>
      <c r="D812" s="73" t="n"/>
      <c r="E812" s="73" t="n"/>
      <c r="F812" s="73" t="n"/>
      <c r="G812" s="73" t="n"/>
      <c r="H812" s="73" t="n"/>
      <c r="I812" s="73" t="n"/>
      <c r="J812" s="73" t="n"/>
      <c r="K812" s="73" t="n"/>
      <c r="L812" s="73" t="n"/>
      <c r="M812" s="73" t="n"/>
      <c r="N812" s="73" t="n"/>
      <c r="O812" s="73" t="n"/>
      <c r="P812" s="73" t="n"/>
      <c r="Q812" s="73" t="n"/>
      <c r="R812" s="73" t="n"/>
      <c r="S812" s="73" t="n"/>
      <c r="T812" s="73" t="n"/>
      <c r="U812" s="73" t="n"/>
      <c r="V812" s="73" t="n"/>
      <c r="W812" s="73" t="n"/>
      <c r="X812" s="73" t="n"/>
    </row>
    <row r="813">
      <c r="A813" s="46" t="n"/>
      <c r="B813" s="46" t="n"/>
      <c r="C813" s="46"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row>
    <row r="814">
      <c r="A814" s="73" t="n"/>
      <c r="B814" s="73" t="n"/>
      <c r="C814" s="73" t="n"/>
      <c r="D814" s="73" t="n"/>
      <c r="E814" s="73" t="n"/>
      <c r="F814" s="73" t="n"/>
      <c r="G814" s="73" t="n"/>
      <c r="H814" s="73" t="n"/>
      <c r="I814" s="73" t="n"/>
      <c r="J814" s="73" t="n"/>
      <c r="K814" s="73" t="n"/>
      <c r="L814" s="73" t="n"/>
      <c r="M814" s="73" t="n"/>
      <c r="N814" s="73" t="n"/>
      <c r="O814" s="73" t="n"/>
      <c r="P814" s="73" t="n"/>
      <c r="Q814" s="73" t="n"/>
      <c r="R814" s="73" t="n"/>
      <c r="S814" s="73" t="n"/>
      <c r="T814" s="73" t="n"/>
      <c r="U814" s="73" t="n"/>
      <c r="V814" s="73" t="n"/>
      <c r="W814" s="73" t="n"/>
      <c r="X814" s="73" t="n"/>
    </row>
    <row r="815">
      <c r="A815" s="46" t="n"/>
      <c r="B815" s="46" t="n"/>
      <c r="C815" s="46"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row>
    <row r="816">
      <c r="A816" s="73" t="n"/>
      <c r="B816" s="73" t="n"/>
      <c r="C816" s="73" t="n"/>
      <c r="D816" s="73" t="n"/>
      <c r="E816" s="73" t="n"/>
      <c r="F816" s="73" t="n"/>
      <c r="G816" s="73" t="n"/>
      <c r="H816" s="73" t="n"/>
      <c r="I816" s="73" t="n"/>
      <c r="J816" s="73" t="n"/>
      <c r="K816" s="73" t="n"/>
      <c r="L816" s="73" t="n"/>
      <c r="M816" s="73" t="n"/>
      <c r="N816" s="73" t="n"/>
      <c r="O816" s="73" t="n"/>
      <c r="P816" s="73" t="n"/>
      <c r="Q816" s="73" t="n"/>
      <c r="R816" s="73" t="n"/>
      <c r="S816" s="73" t="n"/>
      <c r="T816" s="73" t="n"/>
      <c r="U816" s="73" t="n"/>
      <c r="V816" s="73" t="n"/>
      <c r="W816" s="73" t="n"/>
      <c r="X816" s="73" t="n"/>
    </row>
    <row r="817">
      <c r="A817" s="46" t="n"/>
      <c r="B817" s="46" t="n"/>
      <c r="C817" s="46"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row>
    <row r="818">
      <c r="A818" s="73" t="n"/>
      <c r="B818" s="73" t="n"/>
      <c r="C818" s="73" t="n"/>
      <c r="D818" s="73" t="n"/>
      <c r="E818" s="73" t="n"/>
      <c r="F818" s="73" t="n"/>
      <c r="G818" s="73" t="n"/>
      <c r="H818" s="73" t="n"/>
      <c r="I818" s="73" t="n"/>
      <c r="J818" s="73" t="n"/>
      <c r="K818" s="73" t="n"/>
      <c r="L818" s="73" t="n"/>
      <c r="M818" s="73" t="n"/>
      <c r="N818" s="73" t="n"/>
      <c r="O818" s="73" t="n"/>
      <c r="P818" s="73" t="n"/>
      <c r="Q818" s="73" t="n"/>
      <c r="R818" s="73" t="n"/>
      <c r="S818" s="73" t="n"/>
      <c r="T818" s="73" t="n"/>
      <c r="U818" s="73" t="n"/>
      <c r="V818" s="73" t="n"/>
      <c r="W818" s="73" t="n"/>
      <c r="X818" s="73" t="n"/>
    </row>
    <row r="819">
      <c r="A819" s="46" t="n"/>
      <c r="B819" s="46" t="n"/>
      <c r="C819" s="46"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row>
    <row r="820">
      <c r="A820" s="73" t="n"/>
      <c r="B820" s="73" t="n"/>
      <c r="C820" s="73" t="n"/>
      <c r="D820" s="73" t="n"/>
      <c r="E820" s="73" t="n"/>
      <c r="F820" s="73" t="n"/>
      <c r="G820" s="73" t="n"/>
      <c r="H820" s="73" t="n"/>
      <c r="I820" s="73" t="n"/>
      <c r="J820" s="73" t="n"/>
      <c r="K820" s="73" t="n"/>
      <c r="L820" s="73" t="n"/>
      <c r="M820" s="73" t="n"/>
      <c r="N820" s="73" t="n"/>
      <c r="O820" s="73" t="n"/>
      <c r="P820" s="73" t="n"/>
      <c r="Q820" s="73" t="n"/>
      <c r="R820" s="73" t="n"/>
      <c r="S820" s="73" t="n"/>
      <c r="T820" s="73" t="n"/>
      <c r="U820" s="73" t="n"/>
      <c r="V820" s="73" t="n"/>
      <c r="W820" s="73" t="n"/>
      <c r="X820" s="73" t="n"/>
    </row>
    <row r="821">
      <c r="A821" s="46" t="n"/>
      <c r="B821" s="46" t="n"/>
      <c r="C821" s="46"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row>
    <row r="822">
      <c r="A822" s="73" t="n"/>
      <c r="B822" s="73" t="n"/>
      <c r="C822" s="73" t="n"/>
      <c r="D822" s="73" t="n"/>
      <c r="E822" s="73" t="n"/>
      <c r="F822" s="73" t="n"/>
      <c r="G822" s="73" t="n"/>
      <c r="H822" s="73" t="n"/>
      <c r="I822" s="73" t="n"/>
      <c r="J822" s="73" t="n"/>
      <c r="K822" s="73" t="n"/>
      <c r="L822" s="73" t="n"/>
      <c r="M822" s="73" t="n"/>
      <c r="N822" s="73" t="n"/>
      <c r="O822" s="73" t="n"/>
      <c r="P822" s="73" t="n"/>
      <c r="Q822" s="73" t="n"/>
      <c r="R822" s="73" t="n"/>
      <c r="S822" s="73" t="n"/>
      <c r="T822" s="73" t="n"/>
      <c r="U822" s="73" t="n"/>
      <c r="V822" s="73" t="n"/>
      <c r="W822" s="73" t="n"/>
      <c r="X822" s="73" t="n"/>
    </row>
    <row r="823">
      <c r="A823" s="46" t="n"/>
      <c r="B823" s="46" t="n"/>
      <c r="C823" s="46"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row>
    <row r="824">
      <c r="A824" s="73" t="n"/>
      <c r="B824" s="73" t="n"/>
      <c r="C824" s="73" t="n"/>
      <c r="D824" s="73" t="n"/>
      <c r="E824" s="73" t="n"/>
      <c r="F824" s="73" t="n"/>
      <c r="G824" s="73" t="n"/>
      <c r="H824" s="73" t="n"/>
      <c r="I824" s="73" t="n"/>
      <c r="J824" s="73" t="n"/>
      <c r="K824" s="73" t="n"/>
      <c r="L824" s="73" t="n"/>
      <c r="M824" s="73" t="n"/>
      <c r="N824" s="73" t="n"/>
      <c r="O824" s="73" t="n"/>
      <c r="P824" s="73" t="n"/>
      <c r="Q824" s="73" t="n"/>
      <c r="R824" s="73" t="n"/>
      <c r="S824" s="73" t="n"/>
      <c r="T824" s="73" t="n"/>
      <c r="U824" s="73" t="n"/>
      <c r="V824" s="73" t="n"/>
      <c r="W824" s="73" t="n"/>
      <c r="X824" s="73" t="n"/>
    </row>
    <row r="825">
      <c r="A825" s="46" t="n"/>
      <c r="B825" s="46" t="n"/>
      <c r="C825" s="46"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row>
    <row r="826">
      <c r="A826" s="73" t="n"/>
      <c r="B826" s="73" t="n"/>
      <c r="C826" s="73" t="n"/>
      <c r="D826" s="73" t="n"/>
      <c r="E826" s="73" t="n"/>
      <c r="F826" s="73" t="n"/>
      <c r="G826" s="73" t="n"/>
      <c r="H826" s="73" t="n"/>
      <c r="I826" s="73" t="n"/>
      <c r="J826" s="73" t="n"/>
      <c r="K826" s="73" t="n"/>
      <c r="L826" s="73" t="n"/>
      <c r="M826" s="73" t="n"/>
      <c r="N826" s="73" t="n"/>
      <c r="O826" s="73" t="n"/>
      <c r="P826" s="73" t="n"/>
      <c r="Q826" s="73" t="n"/>
      <c r="R826" s="73" t="n"/>
      <c r="S826" s="73" t="n"/>
      <c r="T826" s="73" t="n"/>
      <c r="U826" s="73" t="n"/>
      <c r="V826" s="73" t="n"/>
      <c r="W826" s="73" t="n"/>
      <c r="X826" s="73" t="n"/>
    </row>
    <row r="827">
      <c r="A827" s="46" t="n"/>
      <c r="B827" s="46" t="n"/>
      <c r="C827" s="46"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row>
    <row r="828">
      <c r="A828" s="73" t="n"/>
      <c r="B828" s="73" t="n"/>
      <c r="C828" s="73" t="n"/>
      <c r="D828" s="73" t="n"/>
      <c r="E828" s="73" t="n"/>
      <c r="F828" s="73" t="n"/>
      <c r="G828" s="73" t="n"/>
      <c r="H828" s="73" t="n"/>
      <c r="I828" s="73" t="n"/>
      <c r="J828" s="73" t="n"/>
      <c r="K828" s="73" t="n"/>
      <c r="L828" s="73" t="n"/>
      <c r="M828" s="73" t="n"/>
      <c r="N828" s="73" t="n"/>
      <c r="O828" s="73" t="n"/>
      <c r="P828" s="73" t="n"/>
      <c r="Q828" s="73" t="n"/>
      <c r="R828" s="73" t="n"/>
      <c r="S828" s="73" t="n"/>
      <c r="T828" s="73" t="n"/>
      <c r="U828" s="73" t="n"/>
      <c r="V828" s="73" t="n"/>
      <c r="W828" s="73" t="n"/>
      <c r="X828" s="73" t="n"/>
    </row>
    <row r="829">
      <c r="A829" s="46" t="n"/>
      <c r="B829" s="46" t="n"/>
      <c r="C829" s="46"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row>
    <row r="830">
      <c r="A830" s="73" t="n"/>
      <c r="B830" s="73" t="n"/>
      <c r="C830" s="73" t="n"/>
      <c r="D830" s="73" t="n"/>
      <c r="E830" s="73" t="n"/>
      <c r="F830" s="73" t="n"/>
      <c r="G830" s="73" t="n"/>
      <c r="H830" s="73" t="n"/>
      <c r="I830" s="73" t="n"/>
      <c r="J830" s="73" t="n"/>
      <c r="K830" s="73" t="n"/>
      <c r="L830" s="73" t="n"/>
      <c r="M830" s="73" t="n"/>
      <c r="N830" s="73" t="n"/>
      <c r="O830" s="73" t="n"/>
      <c r="P830" s="73" t="n"/>
      <c r="Q830" s="73" t="n"/>
      <c r="R830" s="73" t="n"/>
      <c r="S830" s="73" t="n"/>
      <c r="T830" s="73" t="n"/>
      <c r="U830" s="73" t="n"/>
      <c r="V830" s="73" t="n"/>
      <c r="W830" s="73" t="n"/>
      <c r="X830" s="73" t="n"/>
    </row>
    <row r="831">
      <c r="A831" s="46" t="n"/>
      <c r="B831" s="46" t="n"/>
      <c r="C831" s="46"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row>
    <row r="832">
      <c r="A832" s="73" t="n"/>
      <c r="B832" s="73" t="n"/>
      <c r="C832" s="73" t="n"/>
      <c r="D832" s="73" t="n"/>
      <c r="E832" s="73" t="n"/>
      <c r="F832" s="73" t="n"/>
      <c r="G832" s="73" t="n"/>
      <c r="H832" s="73" t="n"/>
      <c r="I832" s="73" t="n"/>
      <c r="J832" s="73" t="n"/>
      <c r="K832" s="73" t="n"/>
      <c r="L832" s="73" t="n"/>
      <c r="M832" s="73" t="n"/>
      <c r="N832" s="73" t="n"/>
      <c r="O832" s="73" t="n"/>
      <c r="P832" s="73" t="n"/>
      <c r="Q832" s="73" t="n"/>
      <c r="R832" s="73" t="n"/>
      <c r="S832" s="73" t="n"/>
      <c r="T832" s="73" t="n"/>
      <c r="U832" s="73" t="n"/>
      <c r="V832" s="73" t="n"/>
      <c r="W832" s="73" t="n"/>
      <c r="X832" s="73" t="n"/>
    </row>
    <row r="833">
      <c r="A833" s="46" t="n"/>
      <c r="B833" s="46" t="n"/>
      <c r="C833" s="46"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row>
    <row r="834">
      <c r="A834" s="73" t="n"/>
      <c r="B834" s="73" t="n"/>
      <c r="C834" s="73" t="n"/>
      <c r="D834" s="73" t="n"/>
      <c r="E834" s="73" t="n"/>
      <c r="F834" s="73" t="n"/>
      <c r="G834" s="73" t="n"/>
      <c r="H834" s="73" t="n"/>
      <c r="I834" s="73" t="n"/>
      <c r="J834" s="73" t="n"/>
      <c r="K834" s="73" t="n"/>
      <c r="L834" s="73" t="n"/>
      <c r="M834" s="73" t="n"/>
      <c r="N834" s="73" t="n"/>
      <c r="O834" s="73" t="n"/>
      <c r="P834" s="73" t="n"/>
      <c r="Q834" s="73" t="n"/>
      <c r="R834" s="73" t="n"/>
      <c r="S834" s="73" t="n"/>
      <c r="T834" s="73" t="n"/>
      <c r="U834" s="73" t="n"/>
      <c r="V834" s="73" t="n"/>
      <c r="W834" s="73" t="n"/>
      <c r="X834" s="73" t="n"/>
    </row>
    <row r="835">
      <c r="A835" s="46" t="n"/>
      <c r="B835" s="46" t="n"/>
      <c r="C835" s="46"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row>
    <row r="836">
      <c r="A836" s="73" t="n"/>
      <c r="B836" s="73" t="n"/>
      <c r="C836" s="73" t="n"/>
      <c r="D836" s="73" t="n"/>
      <c r="E836" s="73" t="n"/>
      <c r="F836" s="73" t="n"/>
      <c r="G836" s="73" t="n"/>
      <c r="H836" s="73" t="n"/>
      <c r="I836" s="73" t="n"/>
      <c r="J836" s="73" t="n"/>
      <c r="K836" s="73" t="n"/>
      <c r="L836" s="73" t="n"/>
      <c r="M836" s="73" t="n"/>
      <c r="N836" s="73" t="n"/>
      <c r="O836" s="73" t="n"/>
      <c r="P836" s="73" t="n"/>
      <c r="Q836" s="73" t="n"/>
      <c r="R836" s="73" t="n"/>
      <c r="S836" s="73" t="n"/>
      <c r="T836" s="73" t="n"/>
      <c r="U836" s="73" t="n"/>
      <c r="V836" s="73" t="n"/>
      <c r="W836" s="73" t="n"/>
      <c r="X836" s="73" t="n"/>
    </row>
    <row r="837">
      <c r="A837" s="46" t="n"/>
      <c r="B837" s="46" t="n"/>
      <c r="C837" s="46"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row>
    <row r="838">
      <c r="A838" s="73" t="n"/>
      <c r="B838" s="73" t="n"/>
      <c r="C838" s="73" t="n"/>
      <c r="D838" s="73" t="n"/>
      <c r="E838" s="73" t="n"/>
      <c r="F838" s="73" t="n"/>
      <c r="G838" s="73" t="n"/>
      <c r="H838" s="73" t="n"/>
      <c r="I838" s="73" t="n"/>
      <c r="J838" s="73" t="n"/>
      <c r="K838" s="73" t="n"/>
      <c r="L838" s="73" t="n"/>
      <c r="M838" s="73" t="n"/>
      <c r="N838" s="73" t="n"/>
      <c r="O838" s="73" t="n"/>
      <c r="P838" s="73" t="n"/>
      <c r="Q838" s="73" t="n"/>
      <c r="R838" s="73" t="n"/>
      <c r="S838" s="73" t="n"/>
      <c r="T838" s="73" t="n"/>
      <c r="U838" s="73" t="n"/>
      <c r="V838" s="73" t="n"/>
      <c r="W838" s="73" t="n"/>
      <c r="X838" s="73" t="n"/>
    </row>
    <row r="839">
      <c r="A839" s="46" t="n"/>
      <c r="B839" s="46" t="n"/>
      <c r="C839" s="46"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row>
    <row r="840">
      <c r="A840" s="73" t="n"/>
      <c r="B840" s="73" t="n"/>
      <c r="C840" s="73" t="n"/>
      <c r="D840" s="73" t="n"/>
      <c r="E840" s="73" t="n"/>
      <c r="F840" s="73" t="n"/>
      <c r="G840" s="73" t="n"/>
      <c r="H840" s="73" t="n"/>
      <c r="I840" s="73" t="n"/>
      <c r="J840" s="73" t="n"/>
      <c r="K840" s="73" t="n"/>
      <c r="L840" s="73" t="n"/>
      <c r="M840" s="73" t="n"/>
      <c r="N840" s="73" t="n"/>
      <c r="O840" s="73" t="n"/>
      <c r="P840" s="73" t="n"/>
      <c r="Q840" s="73" t="n"/>
      <c r="R840" s="73" t="n"/>
      <c r="S840" s="73" t="n"/>
      <c r="T840" s="73" t="n"/>
      <c r="U840" s="73" t="n"/>
      <c r="V840" s="73" t="n"/>
      <c r="W840" s="73" t="n"/>
      <c r="X840" s="73" t="n"/>
    </row>
    <row r="841">
      <c r="A841" s="46" t="n"/>
      <c r="B841" s="46" t="n"/>
      <c r="C841" s="46"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row>
    <row r="842">
      <c r="A842" s="73" t="n"/>
      <c r="B842" s="73" t="n"/>
      <c r="C842" s="73" t="n"/>
      <c r="D842" s="73" t="n"/>
      <c r="E842" s="73" t="n"/>
      <c r="F842" s="73" t="n"/>
      <c r="G842" s="73" t="n"/>
      <c r="H842" s="73" t="n"/>
      <c r="I842" s="73" t="n"/>
      <c r="J842" s="73" t="n"/>
      <c r="K842" s="73" t="n"/>
      <c r="L842" s="73" t="n"/>
      <c r="M842" s="73" t="n"/>
      <c r="N842" s="73" t="n"/>
      <c r="O842" s="73" t="n"/>
      <c r="P842" s="73" t="n"/>
      <c r="Q842" s="73" t="n"/>
      <c r="R842" s="73" t="n"/>
      <c r="S842" s="73" t="n"/>
      <c r="T842" s="73" t="n"/>
      <c r="U842" s="73" t="n"/>
      <c r="V842" s="73" t="n"/>
      <c r="W842" s="73" t="n"/>
      <c r="X842" s="73" t="n"/>
    </row>
    <row r="843">
      <c r="A843" s="46" t="n"/>
      <c r="B843" s="46" t="n"/>
      <c r="C843" s="46"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row>
    <row r="844">
      <c r="A844" s="73" t="n"/>
      <c r="B844" s="73" t="n"/>
      <c r="C844" s="73" t="n"/>
      <c r="D844" s="73" t="n"/>
      <c r="E844" s="73" t="n"/>
      <c r="F844" s="73" t="n"/>
      <c r="G844" s="73" t="n"/>
      <c r="H844" s="73" t="n"/>
      <c r="I844" s="73" t="n"/>
      <c r="J844" s="73" t="n"/>
      <c r="K844" s="73" t="n"/>
      <c r="L844" s="73" t="n"/>
      <c r="M844" s="73" t="n"/>
      <c r="N844" s="73" t="n"/>
      <c r="O844" s="73" t="n"/>
      <c r="P844" s="73" t="n"/>
      <c r="Q844" s="73" t="n"/>
      <c r="R844" s="73" t="n"/>
      <c r="S844" s="73" t="n"/>
      <c r="T844" s="73" t="n"/>
      <c r="U844" s="73" t="n"/>
      <c r="V844" s="73" t="n"/>
      <c r="W844" s="73" t="n"/>
      <c r="X844" s="73" t="n"/>
    </row>
    <row r="845">
      <c r="A845" s="46" t="n"/>
      <c r="B845" s="46" t="n"/>
      <c r="C845" s="46"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row>
    <row r="846">
      <c r="A846" s="73" t="n"/>
      <c r="B846" s="73" t="n"/>
      <c r="C846" s="73" t="n"/>
      <c r="D846" s="73" t="n"/>
      <c r="E846" s="73" t="n"/>
      <c r="F846" s="73" t="n"/>
      <c r="G846" s="73" t="n"/>
      <c r="H846" s="73" t="n"/>
      <c r="I846" s="73" t="n"/>
      <c r="J846" s="73" t="n"/>
      <c r="K846" s="73" t="n"/>
      <c r="L846" s="73" t="n"/>
      <c r="M846" s="73" t="n"/>
      <c r="N846" s="73" t="n"/>
      <c r="O846" s="73" t="n"/>
      <c r="P846" s="73" t="n"/>
      <c r="Q846" s="73" t="n"/>
      <c r="R846" s="73" t="n"/>
      <c r="S846" s="73" t="n"/>
      <c r="T846" s="73" t="n"/>
      <c r="U846" s="73" t="n"/>
      <c r="V846" s="73" t="n"/>
      <c r="W846" s="73" t="n"/>
      <c r="X846" s="73" t="n"/>
    </row>
    <row r="847">
      <c r="A847" s="46" t="n"/>
      <c r="B847" s="46" t="n"/>
      <c r="C847" s="46"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row>
    <row r="848">
      <c r="A848" s="73" t="n"/>
      <c r="B848" s="73" t="n"/>
      <c r="C848" s="73" t="n"/>
      <c r="D848" s="73" t="n"/>
      <c r="E848" s="73" t="n"/>
      <c r="F848" s="73" t="n"/>
      <c r="G848" s="73" t="n"/>
      <c r="H848" s="73" t="n"/>
      <c r="I848" s="73" t="n"/>
      <c r="J848" s="73" t="n"/>
      <c r="K848" s="73" t="n"/>
      <c r="L848" s="73" t="n"/>
      <c r="M848" s="73" t="n"/>
      <c r="N848" s="73" t="n"/>
      <c r="O848" s="73" t="n"/>
      <c r="P848" s="73" t="n"/>
      <c r="Q848" s="73" t="n"/>
      <c r="R848" s="73" t="n"/>
      <c r="S848" s="73" t="n"/>
      <c r="T848" s="73" t="n"/>
      <c r="U848" s="73" t="n"/>
      <c r="V848" s="73" t="n"/>
      <c r="W848" s="73" t="n"/>
      <c r="X848" s="73" t="n"/>
    </row>
    <row r="849">
      <c r="A849" s="46" t="n"/>
      <c r="B849" s="46" t="n"/>
      <c r="C849" s="46"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row>
    <row r="850">
      <c r="A850" s="73" t="n"/>
      <c r="B850" s="73" t="n"/>
      <c r="C850" s="73" t="n"/>
      <c r="D850" s="73" t="n"/>
      <c r="E850" s="73" t="n"/>
      <c r="F850" s="73" t="n"/>
      <c r="G850" s="73" t="n"/>
      <c r="H850" s="73" t="n"/>
      <c r="I850" s="73" t="n"/>
      <c r="J850" s="73" t="n"/>
      <c r="K850" s="73" t="n"/>
      <c r="L850" s="73" t="n"/>
      <c r="M850" s="73" t="n"/>
      <c r="N850" s="73" t="n"/>
      <c r="O850" s="73" t="n"/>
      <c r="P850" s="73" t="n"/>
      <c r="Q850" s="73" t="n"/>
      <c r="R850" s="73" t="n"/>
      <c r="S850" s="73" t="n"/>
      <c r="T850" s="73" t="n"/>
      <c r="U850" s="73" t="n"/>
      <c r="V850" s="73" t="n"/>
      <c r="W850" s="73" t="n"/>
      <c r="X850" s="73" t="n"/>
    </row>
    <row r="851">
      <c r="A851" s="46" t="n"/>
      <c r="B851" s="46" t="n"/>
      <c r="C851" s="46"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row>
    <row r="852">
      <c r="A852" s="73" t="n"/>
      <c r="B852" s="73" t="n"/>
      <c r="C852" s="73" t="n"/>
      <c r="D852" s="73" t="n"/>
      <c r="E852" s="73" t="n"/>
      <c r="F852" s="73" t="n"/>
      <c r="G852" s="73" t="n"/>
      <c r="H852" s="73" t="n"/>
      <c r="I852" s="73" t="n"/>
      <c r="J852" s="73" t="n"/>
      <c r="K852" s="73" t="n"/>
      <c r="L852" s="73" t="n"/>
      <c r="M852" s="73" t="n"/>
      <c r="N852" s="73" t="n"/>
      <c r="O852" s="73" t="n"/>
      <c r="P852" s="73" t="n"/>
      <c r="Q852" s="73" t="n"/>
      <c r="R852" s="73" t="n"/>
      <c r="S852" s="73" t="n"/>
      <c r="T852" s="73" t="n"/>
      <c r="U852" s="73" t="n"/>
      <c r="V852" s="73" t="n"/>
      <c r="W852" s="73" t="n"/>
      <c r="X852" s="73" t="n"/>
    </row>
    <row r="853">
      <c r="A853" s="46" t="n"/>
      <c r="B853" s="46" t="n"/>
      <c r="C853" s="46"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row>
    <row r="854">
      <c r="A854" s="73" t="n"/>
      <c r="B854" s="73" t="n"/>
      <c r="C854" s="73" t="n"/>
      <c r="D854" s="73" t="n"/>
      <c r="E854" s="73" t="n"/>
      <c r="F854" s="73" t="n"/>
      <c r="G854" s="73" t="n"/>
      <c r="H854" s="73" t="n"/>
      <c r="I854" s="73" t="n"/>
      <c r="J854" s="73" t="n"/>
      <c r="K854" s="73" t="n"/>
      <c r="L854" s="73" t="n"/>
      <c r="M854" s="73" t="n"/>
      <c r="N854" s="73" t="n"/>
      <c r="O854" s="73" t="n"/>
      <c r="P854" s="73" t="n"/>
      <c r="Q854" s="73" t="n"/>
      <c r="R854" s="73" t="n"/>
      <c r="S854" s="73" t="n"/>
      <c r="T854" s="73" t="n"/>
      <c r="U854" s="73" t="n"/>
      <c r="V854" s="73" t="n"/>
      <c r="W854" s="73" t="n"/>
      <c r="X854" s="73" t="n"/>
    </row>
    <row r="855">
      <c r="A855" s="46" t="n"/>
      <c r="B855" s="46" t="n"/>
      <c r="C855" s="46"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row>
    <row r="856">
      <c r="A856" s="73" t="n"/>
      <c r="B856" s="73" t="n"/>
      <c r="C856" s="73" t="n"/>
      <c r="D856" s="73" t="n"/>
      <c r="E856" s="73" t="n"/>
      <c r="F856" s="73" t="n"/>
      <c r="G856" s="73" t="n"/>
      <c r="H856" s="73" t="n"/>
      <c r="I856" s="73" t="n"/>
      <c r="J856" s="73" t="n"/>
      <c r="K856" s="73" t="n"/>
      <c r="L856" s="73" t="n"/>
      <c r="M856" s="73" t="n"/>
      <c r="N856" s="73" t="n"/>
      <c r="O856" s="73" t="n"/>
      <c r="P856" s="73" t="n"/>
      <c r="Q856" s="73" t="n"/>
      <c r="R856" s="73" t="n"/>
      <c r="S856" s="73" t="n"/>
      <c r="T856" s="73" t="n"/>
      <c r="U856" s="73" t="n"/>
      <c r="V856" s="73" t="n"/>
      <c r="W856" s="73" t="n"/>
      <c r="X856" s="73" t="n"/>
    </row>
    <row r="857">
      <c r="A857" s="46" t="n"/>
      <c r="B857" s="46" t="n"/>
      <c r="C857" s="46"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row>
    <row r="858">
      <c r="A858" s="73" t="n"/>
      <c r="B858" s="73" t="n"/>
      <c r="C858" s="73" t="n"/>
      <c r="D858" s="73" t="n"/>
      <c r="E858" s="73" t="n"/>
      <c r="F858" s="73" t="n"/>
      <c r="G858" s="73" t="n"/>
      <c r="H858" s="73" t="n"/>
      <c r="I858" s="73" t="n"/>
      <c r="J858" s="73" t="n"/>
      <c r="K858" s="73" t="n"/>
      <c r="L858" s="73" t="n"/>
      <c r="M858" s="73" t="n"/>
      <c r="N858" s="73" t="n"/>
      <c r="O858" s="73" t="n"/>
      <c r="P858" s="73" t="n"/>
      <c r="Q858" s="73" t="n"/>
      <c r="R858" s="73" t="n"/>
      <c r="S858" s="73" t="n"/>
      <c r="T858" s="73" t="n"/>
      <c r="U858" s="73" t="n"/>
      <c r="V858" s="73" t="n"/>
      <c r="W858" s="73" t="n"/>
      <c r="X858" s="73" t="n"/>
    </row>
    <row r="859">
      <c r="A859" s="46" t="n"/>
      <c r="B859" s="46" t="n"/>
      <c r="C859" s="46"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row>
    <row r="860">
      <c r="A860" s="73" t="n"/>
      <c r="B860" s="73" t="n"/>
      <c r="C860" s="73" t="n"/>
      <c r="D860" s="73" t="n"/>
      <c r="E860" s="73" t="n"/>
      <c r="F860" s="73" t="n"/>
      <c r="G860" s="73" t="n"/>
      <c r="H860" s="73" t="n"/>
      <c r="I860" s="73" t="n"/>
      <c r="J860" s="73" t="n"/>
      <c r="K860" s="73" t="n"/>
      <c r="L860" s="73" t="n"/>
      <c r="M860" s="73" t="n"/>
      <c r="N860" s="73" t="n"/>
      <c r="O860" s="73" t="n"/>
      <c r="P860" s="73" t="n"/>
      <c r="Q860" s="73" t="n"/>
      <c r="R860" s="73" t="n"/>
      <c r="S860" s="73" t="n"/>
      <c r="T860" s="73" t="n"/>
      <c r="U860" s="73" t="n"/>
      <c r="V860" s="73" t="n"/>
      <c r="W860" s="73" t="n"/>
      <c r="X860" s="73" t="n"/>
    </row>
    <row r="861">
      <c r="A861" s="46" t="n"/>
      <c r="B861" s="46" t="n"/>
      <c r="C861" s="46"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row>
    <row r="862">
      <c r="A862" s="73" t="n"/>
      <c r="B862" s="73" t="n"/>
      <c r="C862" s="73" t="n"/>
      <c r="D862" s="73" t="n"/>
      <c r="E862" s="73" t="n"/>
      <c r="F862" s="73" t="n"/>
      <c r="G862" s="73" t="n"/>
      <c r="H862" s="73" t="n"/>
      <c r="I862" s="73" t="n"/>
      <c r="J862" s="73" t="n"/>
      <c r="K862" s="73" t="n"/>
      <c r="L862" s="73" t="n"/>
      <c r="M862" s="73" t="n"/>
      <c r="N862" s="73" t="n"/>
      <c r="O862" s="73" t="n"/>
      <c r="P862" s="73" t="n"/>
      <c r="Q862" s="73" t="n"/>
      <c r="R862" s="73" t="n"/>
      <c r="S862" s="73" t="n"/>
      <c r="T862" s="73" t="n"/>
      <c r="U862" s="73" t="n"/>
      <c r="V862" s="73" t="n"/>
      <c r="W862" s="73" t="n"/>
      <c r="X862" s="73" t="n"/>
    </row>
    <row r="863">
      <c r="A863" s="46" t="n"/>
      <c r="B863" s="46" t="n"/>
      <c r="C863" s="46"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row>
    <row r="864">
      <c r="A864" s="73" t="n"/>
      <c r="B864" s="73" t="n"/>
      <c r="C864" s="73" t="n"/>
      <c r="D864" s="73" t="n"/>
      <c r="E864" s="73" t="n"/>
      <c r="F864" s="73" t="n"/>
      <c r="G864" s="73" t="n"/>
      <c r="H864" s="73" t="n"/>
      <c r="I864" s="73" t="n"/>
      <c r="J864" s="73" t="n"/>
      <c r="K864" s="73" t="n"/>
      <c r="L864" s="73" t="n"/>
      <c r="M864" s="73" t="n"/>
      <c r="N864" s="73" t="n"/>
      <c r="O864" s="73" t="n"/>
      <c r="P864" s="73" t="n"/>
      <c r="Q864" s="73" t="n"/>
      <c r="R864" s="73" t="n"/>
      <c r="S864" s="73" t="n"/>
      <c r="T864" s="73" t="n"/>
      <c r="U864" s="73" t="n"/>
      <c r="V864" s="73" t="n"/>
      <c r="W864" s="73" t="n"/>
      <c r="X864" s="73" t="n"/>
    </row>
    <row r="865">
      <c r="A865" s="46" t="n"/>
      <c r="B865" s="46" t="n"/>
      <c r="C865" s="46"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row>
    <row r="866">
      <c r="A866" s="73" t="n"/>
      <c r="B866" s="73" t="n"/>
      <c r="C866" s="73" t="n"/>
      <c r="D866" s="73" t="n"/>
      <c r="E866" s="73" t="n"/>
      <c r="F866" s="73" t="n"/>
      <c r="G866" s="73" t="n"/>
      <c r="H866" s="73" t="n"/>
      <c r="I866" s="73" t="n"/>
      <c r="J866" s="73" t="n"/>
      <c r="K866" s="73" t="n"/>
      <c r="L866" s="73" t="n"/>
      <c r="M866" s="73" t="n"/>
      <c r="N866" s="73" t="n"/>
      <c r="O866" s="73" t="n"/>
      <c r="P866" s="73" t="n"/>
      <c r="Q866" s="73" t="n"/>
      <c r="R866" s="73" t="n"/>
      <c r="S866" s="73" t="n"/>
      <c r="T866" s="73" t="n"/>
      <c r="U866" s="73" t="n"/>
      <c r="V866" s="73" t="n"/>
      <c r="W866" s="73" t="n"/>
      <c r="X866" s="73" t="n"/>
    </row>
    <row r="867">
      <c r="A867" s="46" t="n"/>
      <c r="B867" s="46" t="n"/>
      <c r="C867" s="46"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row>
    <row r="868">
      <c r="A868" s="73" t="n"/>
      <c r="B868" s="73" t="n"/>
      <c r="C868" s="73" t="n"/>
      <c r="D868" s="73" t="n"/>
      <c r="E868" s="73" t="n"/>
      <c r="F868" s="73" t="n"/>
      <c r="G868" s="73" t="n"/>
      <c r="H868" s="73" t="n"/>
      <c r="I868" s="73" t="n"/>
      <c r="J868" s="73" t="n"/>
      <c r="K868" s="73" t="n"/>
      <c r="L868" s="73" t="n"/>
      <c r="M868" s="73" t="n"/>
      <c r="N868" s="73" t="n"/>
      <c r="O868" s="73" t="n"/>
      <c r="P868" s="73" t="n"/>
      <c r="Q868" s="73" t="n"/>
      <c r="R868" s="73" t="n"/>
      <c r="S868" s="73" t="n"/>
      <c r="T868" s="73" t="n"/>
      <c r="U868" s="73" t="n"/>
      <c r="V868" s="73" t="n"/>
      <c r="W868" s="73" t="n"/>
      <c r="X868" s="73" t="n"/>
    </row>
    <row r="869">
      <c r="A869" s="46" t="n"/>
      <c r="B869" s="46" t="n"/>
      <c r="C869" s="46"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row>
    <row r="870">
      <c r="A870" s="73" t="n"/>
      <c r="B870" s="73" t="n"/>
      <c r="C870" s="73" t="n"/>
      <c r="D870" s="73" t="n"/>
      <c r="E870" s="73" t="n"/>
      <c r="F870" s="73" t="n"/>
      <c r="G870" s="73" t="n"/>
      <c r="H870" s="73" t="n"/>
      <c r="I870" s="73" t="n"/>
      <c r="J870" s="73" t="n"/>
      <c r="K870" s="73" t="n"/>
      <c r="L870" s="73" t="n"/>
      <c r="M870" s="73" t="n"/>
      <c r="N870" s="73" t="n"/>
      <c r="O870" s="73" t="n"/>
      <c r="P870" s="73" t="n"/>
      <c r="Q870" s="73" t="n"/>
      <c r="R870" s="73" t="n"/>
      <c r="S870" s="73" t="n"/>
      <c r="T870" s="73" t="n"/>
      <c r="U870" s="73" t="n"/>
      <c r="V870" s="73" t="n"/>
      <c r="W870" s="73" t="n"/>
      <c r="X870" s="73" t="n"/>
    </row>
    <row r="871">
      <c r="A871" s="46" t="n"/>
      <c r="B871" s="46" t="n"/>
      <c r="C871" s="46"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row>
    <row r="872">
      <c r="A872" s="73" t="n"/>
      <c r="B872" s="73" t="n"/>
      <c r="C872" s="73" t="n"/>
      <c r="D872" s="73" t="n"/>
      <c r="E872" s="73" t="n"/>
      <c r="F872" s="73" t="n"/>
      <c r="G872" s="73" t="n"/>
      <c r="H872" s="73" t="n"/>
      <c r="I872" s="73" t="n"/>
      <c r="J872" s="73" t="n"/>
      <c r="K872" s="73" t="n"/>
      <c r="L872" s="73" t="n"/>
      <c r="M872" s="73" t="n"/>
      <c r="N872" s="73" t="n"/>
      <c r="O872" s="73" t="n"/>
      <c r="P872" s="73" t="n"/>
      <c r="Q872" s="73" t="n"/>
      <c r="R872" s="73" t="n"/>
      <c r="S872" s="73" t="n"/>
      <c r="T872" s="73" t="n"/>
      <c r="U872" s="73" t="n"/>
      <c r="V872" s="73" t="n"/>
      <c r="W872" s="73" t="n"/>
      <c r="X872" s="73" t="n"/>
    </row>
    <row r="873">
      <c r="A873" s="46" t="n"/>
      <c r="B873" s="46" t="n"/>
      <c r="C873" s="46"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row>
    <row r="874">
      <c r="A874" s="73" t="n"/>
      <c r="B874" s="73" t="n"/>
      <c r="C874" s="73" t="n"/>
      <c r="D874" s="73" t="n"/>
      <c r="E874" s="73" t="n"/>
      <c r="F874" s="73" t="n"/>
      <c r="G874" s="73" t="n"/>
      <c r="H874" s="73" t="n"/>
      <c r="I874" s="73" t="n"/>
      <c r="J874" s="73" t="n"/>
      <c r="K874" s="73" t="n"/>
      <c r="L874" s="73" t="n"/>
      <c r="M874" s="73" t="n"/>
      <c r="N874" s="73" t="n"/>
      <c r="O874" s="73" t="n"/>
      <c r="P874" s="73" t="n"/>
      <c r="Q874" s="73" t="n"/>
      <c r="R874" s="73" t="n"/>
      <c r="S874" s="73" t="n"/>
      <c r="T874" s="73" t="n"/>
      <c r="U874" s="73" t="n"/>
      <c r="V874" s="73" t="n"/>
      <c r="W874" s="73" t="n"/>
      <c r="X874" s="73" t="n"/>
    </row>
    <row r="875">
      <c r="A875" s="46" t="n"/>
      <c r="B875" s="46" t="n"/>
      <c r="C875" s="46"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row>
    <row r="876">
      <c r="A876" s="73" t="n"/>
      <c r="B876" s="73" t="n"/>
      <c r="C876" s="73" t="n"/>
      <c r="D876" s="73" t="n"/>
      <c r="E876" s="73" t="n"/>
      <c r="F876" s="73" t="n"/>
      <c r="G876" s="73" t="n"/>
      <c r="H876" s="73" t="n"/>
      <c r="I876" s="73" t="n"/>
      <c r="J876" s="73" t="n"/>
      <c r="K876" s="73" t="n"/>
      <c r="L876" s="73" t="n"/>
      <c r="M876" s="73" t="n"/>
      <c r="N876" s="73" t="n"/>
      <c r="O876" s="73" t="n"/>
      <c r="P876" s="73" t="n"/>
      <c r="Q876" s="73" t="n"/>
      <c r="R876" s="73" t="n"/>
      <c r="S876" s="73" t="n"/>
      <c r="T876" s="73" t="n"/>
      <c r="U876" s="73" t="n"/>
      <c r="V876" s="73" t="n"/>
      <c r="W876" s="73" t="n"/>
      <c r="X876" s="73" t="n"/>
    </row>
    <row r="877">
      <c r="A877" s="46" t="n"/>
      <c r="B877" s="46" t="n"/>
      <c r="C877" s="46"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row>
    <row r="878">
      <c r="A878" s="73" t="n"/>
      <c r="B878" s="73" t="n"/>
      <c r="C878" s="73" t="n"/>
      <c r="D878" s="73" t="n"/>
      <c r="E878" s="73" t="n"/>
      <c r="F878" s="73" t="n"/>
      <c r="G878" s="73" t="n"/>
      <c r="H878" s="73" t="n"/>
      <c r="I878" s="73" t="n"/>
      <c r="J878" s="73" t="n"/>
      <c r="K878" s="73" t="n"/>
      <c r="L878" s="73" t="n"/>
      <c r="M878" s="73" t="n"/>
      <c r="N878" s="73" t="n"/>
      <c r="O878" s="73" t="n"/>
      <c r="P878" s="73" t="n"/>
      <c r="Q878" s="73" t="n"/>
      <c r="R878" s="73" t="n"/>
      <c r="S878" s="73" t="n"/>
      <c r="T878" s="73" t="n"/>
      <c r="U878" s="73" t="n"/>
      <c r="V878" s="73" t="n"/>
      <c r="W878" s="73" t="n"/>
      <c r="X878" s="73" t="n"/>
    </row>
    <row r="879">
      <c r="A879" s="46" t="n"/>
      <c r="B879" s="46" t="n"/>
      <c r="C879" s="46"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row>
    <row r="880">
      <c r="A880" s="73" t="n"/>
      <c r="B880" s="73" t="n"/>
      <c r="C880" s="73" t="n"/>
      <c r="D880" s="73" t="n"/>
      <c r="E880" s="73" t="n"/>
      <c r="F880" s="73" t="n"/>
      <c r="G880" s="73" t="n"/>
      <c r="H880" s="73" t="n"/>
      <c r="I880" s="73" t="n"/>
      <c r="J880" s="73" t="n"/>
      <c r="K880" s="73" t="n"/>
      <c r="L880" s="73" t="n"/>
      <c r="M880" s="73" t="n"/>
      <c r="N880" s="73" t="n"/>
      <c r="O880" s="73" t="n"/>
      <c r="P880" s="73" t="n"/>
      <c r="Q880" s="73" t="n"/>
      <c r="R880" s="73" t="n"/>
      <c r="S880" s="73" t="n"/>
      <c r="T880" s="73" t="n"/>
      <c r="U880" s="73" t="n"/>
      <c r="V880" s="73" t="n"/>
      <c r="W880" s="73" t="n"/>
      <c r="X880" s="73" t="n"/>
    </row>
    <row r="881">
      <c r="A881" s="46" t="n"/>
      <c r="B881" s="46" t="n"/>
      <c r="C881" s="46"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row>
    <row r="882">
      <c r="A882" s="73" t="n"/>
      <c r="B882" s="73" t="n"/>
      <c r="C882" s="73" t="n"/>
      <c r="D882" s="73" t="n"/>
      <c r="E882" s="73" t="n"/>
      <c r="F882" s="73" t="n"/>
      <c r="G882" s="73" t="n"/>
      <c r="H882" s="73" t="n"/>
      <c r="I882" s="73" t="n"/>
      <c r="J882" s="73" t="n"/>
      <c r="K882" s="73" t="n"/>
      <c r="L882" s="73" t="n"/>
      <c r="M882" s="73" t="n"/>
      <c r="N882" s="73" t="n"/>
      <c r="O882" s="73" t="n"/>
      <c r="P882" s="73" t="n"/>
      <c r="Q882" s="73" t="n"/>
      <c r="R882" s="73" t="n"/>
      <c r="S882" s="73" t="n"/>
      <c r="T882" s="73" t="n"/>
      <c r="U882" s="73" t="n"/>
      <c r="V882" s="73" t="n"/>
      <c r="W882" s="73" t="n"/>
      <c r="X882" s="73" t="n"/>
    </row>
    <row r="883">
      <c r="A883" s="46" t="n"/>
      <c r="B883" s="46" t="n"/>
      <c r="C883" s="46"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row>
    <row r="884">
      <c r="A884" s="73" t="n"/>
      <c r="B884" s="73" t="n"/>
      <c r="C884" s="73" t="n"/>
      <c r="D884" s="73" t="n"/>
      <c r="E884" s="73" t="n"/>
      <c r="F884" s="73" t="n"/>
      <c r="G884" s="73" t="n"/>
      <c r="H884" s="73" t="n"/>
      <c r="I884" s="73" t="n"/>
      <c r="J884" s="73" t="n"/>
      <c r="K884" s="73" t="n"/>
      <c r="L884" s="73" t="n"/>
      <c r="M884" s="73" t="n"/>
      <c r="N884" s="73" t="n"/>
      <c r="O884" s="73" t="n"/>
      <c r="P884" s="73" t="n"/>
      <c r="Q884" s="73" t="n"/>
      <c r="R884" s="73" t="n"/>
      <c r="S884" s="73" t="n"/>
      <c r="T884" s="73" t="n"/>
      <c r="U884" s="73" t="n"/>
      <c r="V884" s="73" t="n"/>
      <c r="W884" s="73" t="n"/>
      <c r="X884" s="73" t="n"/>
    </row>
    <row r="885">
      <c r="A885" s="46" t="n"/>
      <c r="B885" s="46" t="n"/>
      <c r="C885" s="46"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row>
    <row r="886">
      <c r="A886" s="73" t="n"/>
      <c r="B886" s="73" t="n"/>
      <c r="C886" s="73" t="n"/>
      <c r="D886" s="73" t="n"/>
      <c r="E886" s="73" t="n"/>
      <c r="F886" s="73" t="n"/>
      <c r="G886" s="73" t="n"/>
      <c r="H886" s="73" t="n"/>
      <c r="I886" s="73" t="n"/>
      <c r="J886" s="73" t="n"/>
      <c r="K886" s="73" t="n"/>
      <c r="L886" s="73" t="n"/>
      <c r="M886" s="73" t="n"/>
      <c r="N886" s="73" t="n"/>
      <c r="O886" s="73" t="n"/>
      <c r="P886" s="73" t="n"/>
      <c r="Q886" s="73" t="n"/>
      <c r="R886" s="73" t="n"/>
      <c r="S886" s="73" t="n"/>
      <c r="T886" s="73" t="n"/>
      <c r="U886" s="73" t="n"/>
      <c r="V886" s="73" t="n"/>
      <c r="W886" s="73" t="n"/>
      <c r="X886" s="73" t="n"/>
    </row>
    <row r="887">
      <c r="A887" s="46" t="n"/>
      <c r="B887" s="46" t="n"/>
      <c r="C887" s="46"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row>
    <row r="888">
      <c r="A888" s="73" t="n"/>
      <c r="B888" s="73" t="n"/>
      <c r="C888" s="73" t="n"/>
      <c r="D888" s="73" t="n"/>
      <c r="E888" s="73" t="n"/>
      <c r="F888" s="73" t="n"/>
      <c r="G888" s="73" t="n"/>
      <c r="H888" s="73" t="n"/>
      <c r="I888" s="73" t="n"/>
      <c r="J888" s="73" t="n"/>
      <c r="K888" s="73" t="n"/>
      <c r="L888" s="73" t="n"/>
      <c r="M888" s="73" t="n"/>
      <c r="N888" s="73" t="n"/>
      <c r="O888" s="73" t="n"/>
      <c r="P888" s="73" t="n"/>
      <c r="Q888" s="73" t="n"/>
      <c r="R888" s="73" t="n"/>
      <c r="S888" s="73" t="n"/>
      <c r="T888" s="73" t="n"/>
      <c r="U888" s="73" t="n"/>
      <c r="V888" s="73" t="n"/>
      <c r="W888" s="73" t="n"/>
      <c r="X888" s="73" t="n"/>
    </row>
    <row r="889">
      <c r="A889" s="46" t="n"/>
      <c r="B889" s="46" t="n"/>
      <c r="C889" s="46"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row>
    <row r="890">
      <c r="A890" s="73" t="n"/>
      <c r="B890" s="73" t="n"/>
      <c r="C890" s="73" t="n"/>
      <c r="D890" s="73" t="n"/>
      <c r="E890" s="73" t="n"/>
      <c r="F890" s="73" t="n"/>
      <c r="G890" s="73" t="n"/>
      <c r="H890" s="73" t="n"/>
      <c r="I890" s="73" t="n"/>
      <c r="J890" s="73" t="n"/>
      <c r="K890" s="73" t="n"/>
      <c r="L890" s="73" t="n"/>
      <c r="M890" s="73" t="n"/>
      <c r="N890" s="73" t="n"/>
      <c r="O890" s="73" t="n"/>
      <c r="P890" s="73" t="n"/>
      <c r="Q890" s="73" t="n"/>
      <c r="R890" s="73" t="n"/>
      <c r="S890" s="73" t="n"/>
      <c r="T890" s="73" t="n"/>
      <c r="U890" s="73" t="n"/>
      <c r="V890" s="73" t="n"/>
      <c r="W890" s="73" t="n"/>
      <c r="X890" s="73" t="n"/>
    </row>
    <row r="891">
      <c r="A891" s="46" t="n"/>
      <c r="B891" s="46" t="n"/>
      <c r="C891" s="46"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row>
    <row r="892">
      <c r="A892" s="73" t="n"/>
      <c r="B892" s="73" t="n"/>
      <c r="C892" s="73" t="n"/>
      <c r="D892" s="73" t="n"/>
      <c r="E892" s="73" t="n"/>
      <c r="F892" s="73" t="n"/>
      <c r="G892" s="73" t="n"/>
      <c r="H892" s="73" t="n"/>
      <c r="I892" s="73" t="n"/>
      <c r="J892" s="73" t="n"/>
      <c r="K892" s="73" t="n"/>
      <c r="L892" s="73" t="n"/>
      <c r="M892" s="73" t="n"/>
      <c r="N892" s="73" t="n"/>
      <c r="O892" s="73" t="n"/>
      <c r="P892" s="73" t="n"/>
      <c r="Q892" s="73" t="n"/>
      <c r="R892" s="73" t="n"/>
      <c r="S892" s="73" t="n"/>
      <c r="T892" s="73" t="n"/>
      <c r="U892" s="73" t="n"/>
      <c r="V892" s="73" t="n"/>
      <c r="W892" s="73" t="n"/>
      <c r="X892" s="73" t="n"/>
    </row>
    <row r="893">
      <c r="A893" s="46" t="n"/>
      <c r="B893" s="46" t="n"/>
      <c r="C893" s="46"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row>
    <row r="894">
      <c r="A894" s="73" t="n"/>
      <c r="B894" s="73" t="n"/>
      <c r="C894" s="73" t="n"/>
      <c r="D894" s="73" t="n"/>
      <c r="E894" s="73" t="n"/>
      <c r="F894" s="73" t="n"/>
      <c r="G894" s="73" t="n"/>
      <c r="H894" s="73" t="n"/>
      <c r="I894" s="73" t="n"/>
      <c r="J894" s="73" t="n"/>
      <c r="K894" s="73" t="n"/>
      <c r="L894" s="73" t="n"/>
      <c r="M894" s="73" t="n"/>
      <c r="N894" s="73" t="n"/>
      <c r="O894" s="73" t="n"/>
      <c r="P894" s="73" t="n"/>
      <c r="Q894" s="73" t="n"/>
      <c r="R894" s="73" t="n"/>
      <c r="S894" s="73" t="n"/>
      <c r="T894" s="73" t="n"/>
      <c r="U894" s="73" t="n"/>
      <c r="V894" s="73" t="n"/>
      <c r="W894" s="73" t="n"/>
      <c r="X894" s="73" t="n"/>
    </row>
    <row r="895">
      <c r="A895" s="46" t="n"/>
      <c r="B895" s="46" t="n"/>
      <c r="C895" s="46"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row>
    <row r="896">
      <c r="A896" s="73" t="n"/>
      <c r="B896" s="73" t="n"/>
      <c r="C896" s="73" t="n"/>
      <c r="D896" s="73" t="n"/>
      <c r="E896" s="73" t="n"/>
      <c r="F896" s="73" t="n"/>
      <c r="G896" s="73" t="n"/>
      <c r="H896" s="73" t="n"/>
      <c r="I896" s="73" t="n"/>
      <c r="J896" s="73" t="n"/>
      <c r="K896" s="73" t="n"/>
      <c r="L896" s="73" t="n"/>
      <c r="M896" s="73" t="n"/>
      <c r="N896" s="73" t="n"/>
      <c r="O896" s="73" t="n"/>
      <c r="P896" s="73" t="n"/>
      <c r="Q896" s="73" t="n"/>
      <c r="R896" s="73" t="n"/>
      <c r="S896" s="73" t="n"/>
      <c r="T896" s="73" t="n"/>
      <c r="U896" s="73" t="n"/>
      <c r="V896" s="73" t="n"/>
      <c r="W896" s="73" t="n"/>
      <c r="X896" s="73" t="n"/>
    </row>
    <row r="897">
      <c r="A897" s="46" t="n"/>
      <c r="B897" s="46" t="n"/>
      <c r="C897" s="46"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row>
    <row r="898">
      <c r="A898" s="73" t="n"/>
      <c r="B898" s="73" t="n"/>
      <c r="C898" s="73" t="n"/>
      <c r="D898" s="73" t="n"/>
      <c r="E898" s="73" t="n"/>
      <c r="F898" s="73" t="n"/>
      <c r="G898" s="73" t="n"/>
      <c r="H898" s="73" t="n"/>
      <c r="I898" s="73" t="n"/>
      <c r="J898" s="73" t="n"/>
      <c r="K898" s="73" t="n"/>
      <c r="L898" s="73" t="n"/>
      <c r="M898" s="73" t="n"/>
      <c r="N898" s="73" t="n"/>
      <c r="O898" s="73" t="n"/>
      <c r="P898" s="73" t="n"/>
      <c r="Q898" s="73" t="n"/>
      <c r="R898" s="73" t="n"/>
      <c r="S898" s="73" t="n"/>
      <c r="T898" s="73" t="n"/>
      <c r="U898" s="73" t="n"/>
      <c r="V898" s="73" t="n"/>
      <c r="W898" s="73" t="n"/>
      <c r="X898" s="73" t="n"/>
    </row>
    <row r="899">
      <c r="A899" s="46" t="n"/>
      <c r="B899" s="46" t="n"/>
      <c r="C899" s="46"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row>
    <row r="900">
      <c r="A900" s="73" t="n"/>
      <c r="B900" s="73" t="n"/>
      <c r="C900" s="73" t="n"/>
      <c r="D900" s="73" t="n"/>
      <c r="E900" s="73" t="n"/>
      <c r="F900" s="73" t="n"/>
      <c r="G900" s="73" t="n"/>
      <c r="H900" s="73" t="n"/>
      <c r="I900" s="73" t="n"/>
      <c r="J900" s="73" t="n"/>
      <c r="K900" s="73" t="n"/>
      <c r="L900" s="73" t="n"/>
      <c r="M900" s="73" t="n"/>
      <c r="N900" s="73" t="n"/>
      <c r="O900" s="73" t="n"/>
      <c r="P900" s="73" t="n"/>
      <c r="Q900" s="73" t="n"/>
      <c r="R900" s="73" t="n"/>
      <c r="S900" s="73" t="n"/>
      <c r="T900" s="73" t="n"/>
      <c r="U900" s="73" t="n"/>
      <c r="V900" s="73" t="n"/>
      <c r="W900" s="73" t="n"/>
      <c r="X900" s="73" t="n"/>
    </row>
    <row r="901">
      <c r="A901" s="46" t="n"/>
      <c r="B901" s="46" t="n"/>
      <c r="C901" s="46"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row>
    <row r="902">
      <c r="A902" s="73" t="n"/>
      <c r="B902" s="73" t="n"/>
      <c r="C902" s="73" t="n"/>
      <c r="D902" s="73" t="n"/>
      <c r="E902" s="73" t="n"/>
      <c r="F902" s="73" t="n"/>
      <c r="G902" s="73" t="n"/>
      <c r="H902" s="73" t="n"/>
      <c r="I902" s="73" t="n"/>
      <c r="J902" s="73" t="n"/>
      <c r="K902" s="73" t="n"/>
      <c r="L902" s="73" t="n"/>
      <c r="M902" s="73" t="n"/>
      <c r="N902" s="73" t="n"/>
      <c r="O902" s="73" t="n"/>
      <c r="P902" s="73" t="n"/>
      <c r="Q902" s="73" t="n"/>
      <c r="R902" s="73" t="n"/>
      <c r="S902" s="73" t="n"/>
      <c r="T902" s="73" t="n"/>
      <c r="U902" s="73" t="n"/>
      <c r="V902" s="73" t="n"/>
      <c r="W902" s="73" t="n"/>
      <c r="X902" s="73" t="n"/>
    </row>
    <row r="903">
      <c r="A903" s="46" t="n"/>
      <c r="B903" s="46" t="n"/>
      <c r="C903" s="46"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row>
    <row r="904">
      <c r="A904" s="73" t="n"/>
      <c r="B904" s="73" t="n"/>
      <c r="C904" s="73" t="n"/>
      <c r="D904" s="73" t="n"/>
      <c r="E904" s="73" t="n"/>
      <c r="F904" s="73" t="n"/>
      <c r="G904" s="73" t="n"/>
      <c r="H904" s="73" t="n"/>
      <c r="I904" s="73" t="n"/>
      <c r="J904" s="73" t="n"/>
      <c r="K904" s="73" t="n"/>
      <c r="L904" s="73" t="n"/>
      <c r="M904" s="73" t="n"/>
      <c r="N904" s="73" t="n"/>
      <c r="O904" s="73" t="n"/>
      <c r="P904" s="73" t="n"/>
      <c r="Q904" s="73" t="n"/>
      <c r="R904" s="73" t="n"/>
      <c r="S904" s="73" t="n"/>
      <c r="T904" s="73" t="n"/>
      <c r="U904" s="73" t="n"/>
      <c r="V904" s="73" t="n"/>
      <c r="W904" s="73" t="n"/>
      <c r="X904" s="73" t="n"/>
    </row>
    <row r="905">
      <c r="A905" s="46" t="n"/>
      <c r="B905" s="46" t="n"/>
      <c r="C905" s="46"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row>
    <row r="906">
      <c r="A906" s="73" t="n"/>
      <c r="B906" s="73" t="n"/>
      <c r="C906" s="73" t="n"/>
      <c r="D906" s="73" t="n"/>
      <c r="E906" s="73" t="n"/>
      <c r="F906" s="73" t="n"/>
      <c r="G906" s="73" t="n"/>
      <c r="H906" s="73" t="n"/>
      <c r="I906" s="73" t="n"/>
      <c r="J906" s="73" t="n"/>
      <c r="K906" s="73" t="n"/>
      <c r="L906" s="73" t="n"/>
      <c r="M906" s="73" t="n"/>
      <c r="N906" s="73" t="n"/>
      <c r="O906" s="73" t="n"/>
      <c r="P906" s="73" t="n"/>
      <c r="Q906" s="73" t="n"/>
      <c r="R906" s="73" t="n"/>
      <c r="S906" s="73" t="n"/>
      <c r="T906" s="73" t="n"/>
      <c r="U906" s="73" t="n"/>
      <c r="V906" s="73" t="n"/>
      <c r="W906" s="73" t="n"/>
      <c r="X906" s="73" t="n"/>
    </row>
    <row r="907">
      <c r="A907" s="46" t="n"/>
      <c r="B907" s="46" t="n"/>
      <c r="C907" s="46"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row>
    <row r="908">
      <c r="A908" s="73" t="n"/>
      <c r="B908" s="73" t="n"/>
      <c r="C908" s="73" t="n"/>
      <c r="D908" s="73" t="n"/>
      <c r="E908" s="73" t="n"/>
      <c r="F908" s="73" t="n"/>
      <c r="G908" s="73" t="n"/>
      <c r="H908" s="73" t="n"/>
      <c r="I908" s="73" t="n"/>
      <c r="J908" s="73" t="n"/>
      <c r="K908" s="73" t="n"/>
      <c r="L908" s="73" t="n"/>
      <c r="M908" s="73" t="n"/>
      <c r="N908" s="73" t="n"/>
      <c r="O908" s="73" t="n"/>
      <c r="P908" s="73" t="n"/>
      <c r="Q908" s="73" t="n"/>
      <c r="R908" s="73" t="n"/>
      <c r="S908" s="73" t="n"/>
      <c r="T908" s="73" t="n"/>
      <c r="U908" s="73" t="n"/>
      <c r="V908" s="73" t="n"/>
      <c r="W908" s="73" t="n"/>
      <c r="X908" s="73" t="n"/>
    </row>
    <row r="909">
      <c r="A909" s="46" t="n"/>
      <c r="B909" s="46" t="n"/>
      <c r="C909" s="46"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row>
    <row r="910">
      <c r="A910" s="73" t="n"/>
      <c r="B910" s="73" t="n"/>
      <c r="C910" s="73" t="n"/>
      <c r="D910" s="73" t="n"/>
      <c r="E910" s="73" t="n"/>
      <c r="F910" s="73" t="n"/>
      <c r="G910" s="73" t="n"/>
      <c r="H910" s="73" t="n"/>
      <c r="I910" s="73" t="n"/>
      <c r="J910" s="73" t="n"/>
      <c r="K910" s="73" t="n"/>
      <c r="L910" s="73" t="n"/>
      <c r="M910" s="73" t="n"/>
      <c r="N910" s="73" t="n"/>
      <c r="O910" s="73" t="n"/>
      <c r="P910" s="73" t="n"/>
      <c r="Q910" s="73" t="n"/>
      <c r="R910" s="73" t="n"/>
      <c r="S910" s="73" t="n"/>
      <c r="T910" s="73" t="n"/>
      <c r="U910" s="73" t="n"/>
      <c r="V910" s="73" t="n"/>
      <c r="W910" s="73" t="n"/>
      <c r="X910" s="73" t="n"/>
    </row>
    <row r="911">
      <c r="A911" s="46" t="n"/>
      <c r="B911" s="46" t="n"/>
      <c r="C911" s="46"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row>
    <row r="912">
      <c r="A912" s="73" t="n"/>
      <c r="B912" s="73" t="n"/>
      <c r="C912" s="73" t="n"/>
      <c r="D912" s="73" t="n"/>
      <c r="E912" s="73" t="n"/>
      <c r="F912" s="73" t="n"/>
      <c r="G912" s="73" t="n"/>
      <c r="H912" s="73" t="n"/>
      <c r="I912" s="73" t="n"/>
      <c r="J912" s="73" t="n"/>
      <c r="K912" s="73" t="n"/>
      <c r="L912" s="73" t="n"/>
      <c r="M912" s="73" t="n"/>
      <c r="N912" s="73" t="n"/>
      <c r="O912" s="73" t="n"/>
      <c r="P912" s="73" t="n"/>
      <c r="Q912" s="73" t="n"/>
      <c r="R912" s="73" t="n"/>
      <c r="S912" s="73" t="n"/>
      <c r="T912" s="73" t="n"/>
      <c r="U912" s="73" t="n"/>
      <c r="V912" s="73" t="n"/>
      <c r="W912" s="73" t="n"/>
      <c r="X912" s="73" t="n"/>
    </row>
    <row r="913">
      <c r="A913" s="46" t="n"/>
      <c r="B913" s="46" t="n"/>
      <c r="C913" s="46"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row>
    <row r="914">
      <c r="A914" s="73" t="n"/>
      <c r="B914" s="73" t="n"/>
      <c r="C914" s="73" t="n"/>
      <c r="D914" s="73" t="n"/>
      <c r="E914" s="73" t="n"/>
      <c r="F914" s="73" t="n"/>
      <c r="G914" s="73" t="n"/>
      <c r="H914" s="73" t="n"/>
      <c r="I914" s="73" t="n"/>
      <c r="J914" s="73" t="n"/>
      <c r="K914" s="73" t="n"/>
      <c r="L914" s="73" t="n"/>
      <c r="M914" s="73" t="n"/>
      <c r="N914" s="73" t="n"/>
      <c r="O914" s="73" t="n"/>
      <c r="P914" s="73" t="n"/>
      <c r="Q914" s="73" t="n"/>
      <c r="R914" s="73" t="n"/>
      <c r="S914" s="73" t="n"/>
      <c r="T914" s="73" t="n"/>
      <c r="U914" s="73" t="n"/>
      <c r="V914" s="73" t="n"/>
      <c r="W914" s="73" t="n"/>
      <c r="X914" s="73" t="n"/>
    </row>
    <row r="915">
      <c r="A915" s="46" t="n"/>
      <c r="B915" s="46" t="n"/>
      <c r="C915" s="46"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row>
    <row r="916">
      <c r="A916" s="73" t="n"/>
      <c r="B916" s="73" t="n"/>
      <c r="C916" s="73" t="n"/>
      <c r="D916" s="73" t="n"/>
      <c r="E916" s="73" t="n"/>
      <c r="F916" s="73" t="n"/>
      <c r="G916" s="73" t="n"/>
      <c r="H916" s="73" t="n"/>
      <c r="I916" s="73" t="n"/>
      <c r="J916" s="73" t="n"/>
      <c r="K916" s="73" t="n"/>
      <c r="L916" s="73" t="n"/>
      <c r="M916" s="73" t="n"/>
      <c r="N916" s="73" t="n"/>
      <c r="O916" s="73" t="n"/>
      <c r="P916" s="73" t="n"/>
      <c r="Q916" s="73" t="n"/>
      <c r="R916" s="73" t="n"/>
      <c r="S916" s="73" t="n"/>
      <c r="T916" s="73" t="n"/>
      <c r="U916" s="73" t="n"/>
      <c r="V916" s="73" t="n"/>
      <c r="W916" s="73" t="n"/>
      <c r="X916" s="73" t="n"/>
    </row>
    <row r="917">
      <c r="A917" s="46" t="n"/>
      <c r="B917" s="46" t="n"/>
      <c r="C917" s="46"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row>
    <row r="918">
      <c r="A918" s="73" t="n"/>
      <c r="B918" s="73" t="n"/>
      <c r="C918" s="73" t="n"/>
      <c r="D918" s="73" t="n"/>
      <c r="E918" s="73" t="n"/>
      <c r="F918" s="73" t="n"/>
      <c r="G918" s="73" t="n"/>
      <c r="H918" s="73" t="n"/>
      <c r="I918" s="73" t="n"/>
      <c r="J918" s="73" t="n"/>
      <c r="K918" s="73" t="n"/>
      <c r="L918" s="73" t="n"/>
      <c r="M918" s="73" t="n"/>
      <c r="N918" s="73" t="n"/>
      <c r="O918" s="73" t="n"/>
      <c r="P918" s="73" t="n"/>
      <c r="Q918" s="73" t="n"/>
      <c r="R918" s="73" t="n"/>
      <c r="S918" s="73" t="n"/>
      <c r="T918" s="73" t="n"/>
      <c r="U918" s="73" t="n"/>
      <c r="V918" s="73" t="n"/>
      <c r="W918" s="73" t="n"/>
      <c r="X918" s="73" t="n"/>
    </row>
    <row r="919">
      <c r="A919" s="46" t="n"/>
      <c r="B919" s="46" t="n"/>
      <c r="C919" s="46"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row>
    <row r="920">
      <c r="A920" s="73" t="n"/>
      <c r="B920" s="73" t="n"/>
      <c r="C920" s="73" t="n"/>
      <c r="D920" s="73" t="n"/>
      <c r="E920" s="73" t="n"/>
      <c r="F920" s="73" t="n"/>
      <c r="G920" s="73" t="n"/>
      <c r="H920" s="73" t="n"/>
      <c r="I920" s="73" t="n"/>
      <c r="J920" s="73" t="n"/>
      <c r="K920" s="73" t="n"/>
      <c r="L920" s="73" t="n"/>
      <c r="M920" s="73" t="n"/>
      <c r="N920" s="73" t="n"/>
      <c r="O920" s="73" t="n"/>
      <c r="P920" s="73" t="n"/>
      <c r="Q920" s="73" t="n"/>
      <c r="R920" s="73" t="n"/>
      <c r="S920" s="73" t="n"/>
      <c r="T920" s="73" t="n"/>
      <c r="U920" s="73" t="n"/>
      <c r="V920" s="73" t="n"/>
      <c r="W920" s="73" t="n"/>
      <c r="X920" s="73" t="n"/>
    </row>
    <row r="921">
      <c r="A921" s="46" t="n"/>
      <c r="B921" s="46" t="n"/>
      <c r="C921" s="46"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row>
    <row r="922">
      <c r="A922" s="73" t="n"/>
      <c r="B922" s="73" t="n"/>
      <c r="C922" s="73" t="n"/>
      <c r="D922" s="73" t="n"/>
      <c r="E922" s="73" t="n"/>
      <c r="F922" s="73" t="n"/>
      <c r="G922" s="73" t="n"/>
      <c r="H922" s="73" t="n"/>
      <c r="I922" s="73" t="n"/>
      <c r="J922" s="73" t="n"/>
      <c r="K922" s="73" t="n"/>
      <c r="L922" s="73" t="n"/>
      <c r="M922" s="73" t="n"/>
      <c r="N922" s="73" t="n"/>
      <c r="O922" s="73" t="n"/>
      <c r="P922" s="73" t="n"/>
      <c r="Q922" s="73" t="n"/>
      <c r="R922" s="73" t="n"/>
      <c r="S922" s="73" t="n"/>
      <c r="T922" s="73" t="n"/>
      <c r="U922" s="73" t="n"/>
      <c r="V922" s="73" t="n"/>
      <c r="W922" s="73" t="n"/>
      <c r="X922" s="73" t="n"/>
    </row>
    <row r="923">
      <c r="A923" s="46" t="n"/>
      <c r="B923" s="46" t="n"/>
      <c r="C923" s="46"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row>
    <row r="924">
      <c r="A924" s="73" t="n"/>
      <c r="B924" s="73" t="n"/>
      <c r="C924" s="73" t="n"/>
      <c r="D924" s="73" t="n"/>
      <c r="E924" s="73" t="n"/>
      <c r="F924" s="73" t="n"/>
      <c r="G924" s="73" t="n"/>
      <c r="H924" s="73" t="n"/>
      <c r="I924" s="73" t="n"/>
      <c r="J924" s="73" t="n"/>
      <c r="K924" s="73" t="n"/>
      <c r="L924" s="73" t="n"/>
      <c r="M924" s="73" t="n"/>
      <c r="N924" s="73" t="n"/>
      <c r="O924" s="73" t="n"/>
      <c r="P924" s="73" t="n"/>
      <c r="Q924" s="73" t="n"/>
      <c r="R924" s="73" t="n"/>
      <c r="S924" s="73" t="n"/>
      <c r="T924" s="73" t="n"/>
      <c r="U924" s="73" t="n"/>
      <c r="V924" s="73" t="n"/>
      <c r="W924" s="73" t="n"/>
      <c r="X924" s="73" t="n"/>
    </row>
    <row r="925">
      <c r="A925" s="46" t="n"/>
      <c r="B925" s="46" t="n"/>
      <c r="C925" s="46"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row>
    <row r="926">
      <c r="A926" s="73" t="n"/>
      <c r="B926" s="73" t="n"/>
      <c r="C926" s="73" t="n"/>
      <c r="D926" s="73" t="n"/>
      <c r="E926" s="73" t="n"/>
      <c r="F926" s="73" t="n"/>
      <c r="G926" s="73" t="n"/>
      <c r="H926" s="73" t="n"/>
      <c r="I926" s="73" t="n"/>
      <c r="J926" s="73" t="n"/>
      <c r="K926" s="73" t="n"/>
      <c r="L926" s="73" t="n"/>
      <c r="M926" s="73" t="n"/>
      <c r="N926" s="73" t="n"/>
      <c r="O926" s="73" t="n"/>
      <c r="P926" s="73" t="n"/>
      <c r="Q926" s="73" t="n"/>
      <c r="R926" s="73" t="n"/>
      <c r="S926" s="73" t="n"/>
      <c r="T926" s="73" t="n"/>
      <c r="U926" s="73" t="n"/>
      <c r="V926" s="73" t="n"/>
      <c r="W926" s="73" t="n"/>
      <c r="X926" s="73" t="n"/>
    </row>
    <row r="927">
      <c r="A927" s="46" t="n"/>
      <c r="B927" s="46" t="n"/>
      <c r="C927" s="46"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row>
    <row r="928">
      <c r="A928" s="73" t="n"/>
      <c r="B928" s="73" t="n"/>
      <c r="C928" s="73" t="n"/>
      <c r="D928" s="73" t="n"/>
      <c r="E928" s="73" t="n"/>
      <c r="F928" s="73" t="n"/>
      <c r="G928" s="73" t="n"/>
      <c r="H928" s="73" t="n"/>
      <c r="I928" s="73" t="n"/>
      <c r="J928" s="73" t="n"/>
      <c r="K928" s="73" t="n"/>
      <c r="L928" s="73" t="n"/>
      <c r="M928" s="73" t="n"/>
      <c r="N928" s="73" t="n"/>
      <c r="O928" s="73" t="n"/>
      <c r="P928" s="73" t="n"/>
      <c r="Q928" s="73" t="n"/>
      <c r="R928" s="73" t="n"/>
      <c r="S928" s="73" t="n"/>
      <c r="T928" s="73" t="n"/>
      <c r="U928" s="73" t="n"/>
      <c r="V928" s="73" t="n"/>
      <c r="W928" s="73" t="n"/>
      <c r="X928" s="73" t="n"/>
    </row>
    <row r="929">
      <c r="A929" s="46" t="n"/>
      <c r="B929" s="46" t="n"/>
      <c r="C929" s="46"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row>
    <row r="930">
      <c r="A930" s="73" t="n"/>
      <c r="B930" s="73" t="n"/>
      <c r="C930" s="73" t="n"/>
      <c r="D930" s="73" t="n"/>
      <c r="E930" s="73" t="n"/>
      <c r="F930" s="73" t="n"/>
      <c r="G930" s="73" t="n"/>
      <c r="H930" s="73" t="n"/>
      <c r="I930" s="73" t="n"/>
      <c r="J930" s="73" t="n"/>
      <c r="K930" s="73" t="n"/>
      <c r="L930" s="73" t="n"/>
      <c r="M930" s="73" t="n"/>
      <c r="N930" s="73" t="n"/>
      <c r="O930" s="73" t="n"/>
      <c r="P930" s="73" t="n"/>
      <c r="Q930" s="73" t="n"/>
      <c r="R930" s="73" t="n"/>
      <c r="S930" s="73" t="n"/>
      <c r="T930" s="73" t="n"/>
      <c r="U930" s="73" t="n"/>
      <c r="V930" s="73" t="n"/>
      <c r="W930" s="73" t="n"/>
      <c r="X930" s="73" t="n"/>
    </row>
    <row r="931">
      <c r="A931" s="46" t="n"/>
      <c r="B931" s="46" t="n"/>
      <c r="C931" s="46"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row>
    <row r="932">
      <c r="A932" s="73" t="n"/>
      <c r="B932" s="73" t="n"/>
      <c r="C932" s="73" t="n"/>
      <c r="D932" s="73" t="n"/>
      <c r="E932" s="73" t="n"/>
      <c r="F932" s="73" t="n"/>
      <c r="G932" s="73" t="n"/>
      <c r="H932" s="73" t="n"/>
      <c r="I932" s="73" t="n"/>
      <c r="J932" s="73" t="n"/>
      <c r="K932" s="73" t="n"/>
      <c r="L932" s="73" t="n"/>
      <c r="M932" s="73" t="n"/>
      <c r="N932" s="73" t="n"/>
      <c r="O932" s="73" t="n"/>
      <c r="P932" s="73" t="n"/>
      <c r="Q932" s="73" t="n"/>
      <c r="R932" s="73" t="n"/>
      <c r="S932" s="73" t="n"/>
      <c r="T932" s="73" t="n"/>
      <c r="U932" s="73" t="n"/>
      <c r="V932" s="73" t="n"/>
      <c r="W932" s="73" t="n"/>
      <c r="X932" s="73" t="n"/>
    </row>
    <row r="933">
      <c r="A933" s="46" t="n"/>
      <c r="B933" s="46" t="n"/>
      <c r="C933" s="46"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row>
    <row r="934">
      <c r="A934" s="73" t="n"/>
      <c r="B934" s="73" t="n"/>
      <c r="C934" s="73" t="n"/>
      <c r="D934" s="73" t="n"/>
      <c r="E934" s="73" t="n"/>
      <c r="F934" s="73" t="n"/>
      <c r="G934" s="73" t="n"/>
      <c r="H934" s="73" t="n"/>
      <c r="I934" s="73" t="n"/>
      <c r="J934" s="73" t="n"/>
      <c r="K934" s="73" t="n"/>
      <c r="L934" s="73" t="n"/>
      <c r="M934" s="73" t="n"/>
      <c r="N934" s="73" t="n"/>
      <c r="O934" s="73" t="n"/>
      <c r="P934" s="73" t="n"/>
      <c r="Q934" s="73" t="n"/>
      <c r="R934" s="73" t="n"/>
      <c r="S934" s="73" t="n"/>
      <c r="T934" s="73" t="n"/>
      <c r="U934" s="73" t="n"/>
      <c r="V934" s="73" t="n"/>
      <c r="W934" s="73" t="n"/>
      <c r="X934" s="73" t="n"/>
    </row>
    <row r="935">
      <c r="A935" s="46" t="n"/>
      <c r="B935" s="46" t="n"/>
      <c r="C935" s="46"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row>
    <row r="936">
      <c r="A936" s="73" t="n"/>
      <c r="B936" s="73" t="n"/>
      <c r="C936" s="73" t="n"/>
      <c r="D936" s="73" t="n"/>
      <c r="E936" s="73" t="n"/>
      <c r="F936" s="73" t="n"/>
      <c r="G936" s="73" t="n"/>
      <c r="H936" s="73" t="n"/>
      <c r="I936" s="73" t="n"/>
      <c r="J936" s="73" t="n"/>
      <c r="K936" s="73" t="n"/>
      <c r="L936" s="73" t="n"/>
      <c r="M936" s="73" t="n"/>
      <c r="N936" s="73" t="n"/>
      <c r="O936" s="73" t="n"/>
      <c r="P936" s="73" t="n"/>
      <c r="Q936" s="73" t="n"/>
      <c r="R936" s="73" t="n"/>
      <c r="S936" s="73" t="n"/>
      <c r="T936" s="73" t="n"/>
      <c r="U936" s="73" t="n"/>
      <c r="V936" s="73" t="n"/>
      <c r="W936" s="73" t="n"/>
      <c r="X936" s="73" t="n"/>
    </row>
    <row r="937">
      <c r="A937" s="46" t="n"/>
      <c r="B937" s="46" t="n"/>
      <c r="C937" s="46"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row>
    <row r="938">
      <c r="A938" s="73" t="n"/>
      <c r="B938" s="73" t="n"/>
      <c r="C938" s="73" t="n"/>
      <c r="D938" s="73" t="n"/>
      <c r="E938" s="73" t="n"/>
      <c r="F938" s="73" t="n"/>
      <c r="G938" s="73" t="n"/>
      <c r="H938" s="73" t="n"/>
      <c r="I938" s="73" t="n"/>
      <c r="J938" s="73" t="n"/>
      <c r="K938" s="73" t="n"/>
      <c r="L938" s="73" t="n"/>
      <c r="M938" s="73" t="n"/>
      <c r="N938" s="73" t="n"/>
      <c r="O938" s="73" t="n"/>
      <c r="P938" s="73" t="n"/>
      <c r="Q938" s="73" t="n"/>
      <c r="R938" s="73" t="n"/>
      <c r="S938" s="73" t="n"/>
      <c r="T938" s="73" t="n"/>
      <c r="U938" s="73" t="n"/>
      <c r="V938" s="73" t="n"/>
      <c r="W938" s="73" t="n"/>
      <c r="X938" s="73" t="n"/>
    </row>
    <row r="939">
      <c r="A939" s="46" t="n"/>
      <c r="B939" s="46" t="n"/>
      <c r="C939" s="46"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row>
    <row r="940">
      <c r="A940" s="73" t="n"/>
      <c r="B940" s="73" t="n"/>
      <c r="C940" s="73" t="n"/>
      <c r="D940" s="73" t="n"/>
      <c r="E940" s="73" t="n"/>
      <c r="F940" s="73" t="n"/>
      <c r="G940" s="73" t="n"/>
      <c r="H940" s="73" t="n"/>
      <c r="I940" s="73" t="n"/>
      <c r="J940" s="73" t="n"/>
      <c r="K940" s="73" t="n"/>
      <c r="L940" s="73" t="n"/>
      <c r="M940" s="73" t="n"/>
      <c r="N940" s="73" t="n"/>
      <c r="O940" s="73" t="n"/>
      <c r="P940" s="73" t="n"/>
      <c r="Q940" s="73" t="n"/>
      <c r="R940" s="73" t="n"/>
      <c r="S940" s="73" t="n"/>
      <c r="T940" s="73" t="n"/>
      <c r="U940" s="73" t="n"/>
      <c r="V940" s="73" t="n"/>
      <c r="W940" s="73" t="n"/>
      <c r="X940" s="73" t="n"/>
    </row>
    <row r="941">
      <c r="A941" s="46" t="n"/>
      <c r="B941" s="46" t="n"/>
      <c r="C941" s="46"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row>
    <row r="942">
      <c r="A942" s="73" t="n"/>
      <c r="B942" s="73" t="n"/>
      <c r="C942" s="73" t="n"/>
      <c r="D942" s="73" t="n"/>
      <c r="E942" s="73" t="n"/>
      <c r="F942" s="73" t="n"/>
      <c r="G942" s="73" t="n"/>
      <c r="H942" s="73" t="n"/>
      <c r="I942" s="73" t="n"/>
      <c r="J942" s="73" t="n"/>
      <c r="K942" s="73" t="n"/>
      <c r="L942" s="73" t="n"/>
      <c r="M942" s="73" t="n"/>
      <c r="N942" s="73" t="n"/>
      <c r="O942" s="73" t="n"/>
      <c r="P942" s="73" t="n"/>
      <c r="Q942" s="73" t="n"/>
      <c r="R942" s="73" t="n"/>
      <c r="S942" s="73" t="n"/>
      <c r="T942" s="73" t="n"/>
      <c r="U942" s="73" t="n"/>
      <c r="V942" s="73" t="n"/>
      <c r="W942" s="73" t="n"/>
      <c r="X942" s="73" t="n"/>
    </row>
    <row r="943">
      <c r="A943" s="46" t="n"/>
      <c r="B943" s="46" t="n"/>
      <c r="C943" s="46"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row>
    <row r="944">
      <c r="A944" s="73" t="n"/>
      <c r="B944" s="73" t="n"/>
      <c r="C944" s="73" t="n"/>
      <c r="D944" s="73" t="n"/>
      <c r="E944" s="73" t="n"/>
      <c r="F944" s="73" t="n"/>
      <c r="G944" s="73" t="n"/>
      <c r="H944" s="73" t="n"/>
      <c r="I944" s="73" t="n"/>
      <c r="J944" s="73" t="n"/>
      <c r="K944" s="73" t="n"/>
      <c r="L944" s="73" t="n"/>
      <c r="M944" s="73" t="n"/>
      <c r="N944" s="73" t="n"/>
      <c r="O944" s="73" t="n"/>
      <c r="P944" s="73" t="n"/>
      <c r="Q944" s="73" t="n"/>
      <c r="R944" s="73" t="n"/>
      <c r="S944" s="73" t="n"/>
      <c r="T944" s="73" t="n"/>
      <c r="U944" s="73" t="n"/>
      <c r="V944" s="73" t="n"/>
      <c r="W944" s="73" t="n"/>
      <c r="X944" s="73" t="n"/>
    </row>
    <row r="945">
      <c r="A945" s="46" t="n"/>
      <c r="B945" s="46" t="n"/>
      <c r="C945" s="46"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row>
    <row r="946">
      <c r="A946" s="73" t="n"/>
      <c r="B946" s="73" t="n"/>
      <c r="C946" s="73" t="n"/>
      <c r="D946" s="73" t="n"/>
      <c r="E946" s="73" t="n"/>
      <c r="F946" s="73" t="n"/>
      <c r="G946" s="73" t="n"/>
      <c r="H946" s="73" t="n"/>
      <c r="I946" s="73" t="n"/>
      <c r="J946" s="73" t="n"/>
      <c r="K946" s="73" t="n"/>
      <c r="L946" s="73" t="n"/>
      <c r="M946" s="73" t="n"/>
      <c r="N946" s="73" t="n"/>
      <c r="O946" s="73" t="n"/>
      <c r="P946" s="73" t="n"/>
      <c r="Q946" s="73" t="n"/>
      <c r="R946" s="73" t="n"/>
      <c r="S946" s="73" t="n"/>
      <c r="T946" s="73" t="n"/>
      <c r="U946" s="73" t="n"/>
      <c r="V946" s="73" t="n"/>
      <c r="W946" s="73" t="n"/>
      <c r="X946" s="73" t="n"/>
    </row>
    <row r="947">
      <c r="A947" s="46" t="n"/>
      <c r="B947" s="46" t="n"/>
      <c r="C947" s="46"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row>
    <row r="948">
      <c r="A948" s="73" t="n"/>
      <c r="B948" s="73" t="n"/>
      <c r="C948" s="73" t="n"/>
      <c r="D948" s="73" t="n"/>
      <c r="E948" s="73" t="n"/>
      <c r="F948" s="73" t="n"/>
      <c r="G948" s="73" t="n"/>
      <c r="H948" s="73" t="n"/>
      <c r="I948" s="73" t="n"/>
      <c r="J948" s="73" t="n"/>
      <c r="K948" s="73" t="n"/>
      <c r="L948" s="73" t="n"/>
      <c r="M948" s="73" t="n"/>
      <c r="N948" s="73" t="n"/>
      <c r="O948" s="73" t="n"/>
      <c r="P948" s="73" t="n"/>
      <c r="Q948" s="73" t="n"/>
      <c r="R948" s="73" t="n"/>
      <c r="S948" s="73" t="n"/>
      <c r="T948" s="73" t="n"/>
      <c r="U948" s="73" t="n"/>
      <c r="V948" s="73" t="n"/>
      <c r="W948" s="73" t="n"/>
      <c r="X948" s="73" t="n"/>
    </row>
    <row r="949">
      <c r="A949" s="46" t="n"/>
      <c r="B949" s="46" t="n"/>
      <c r="C949" s="46"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row>
    <row r="950">
      <c r="A950" s="73" t="n"/>
      <c r="B950" s="73" t="n"/>
      <c r="C950" s="73" t="n"/>
      <c r="D950" s="73" t="n"/>
      <c r="E950" s="73" t="n"/>
      <c r="F950" s="73" t="n"/>
      <c r="G950" s="73" t="n"/>
      <c r="H950" s="73" t="n"/>
      <c r="I950" s="73" t="n"/>
      <c r="J950" s="73" t="n"/>
      <c r="K950" s="73" t="n"/>
      <c r="L950" s="73" t="n"/>
      <c r="M950" s="73" t="n"/>
      <c r="N950" s="73" t="n"/>
      <c r="O950" s="73" t="n"/>
      <c r="P950" s="73" t="n"/>
      <c r="Q950" s="73" t="n"/>
      <c r="R950" s="73" t="n"/>
      <c r="S950" s="73" t="n"/>
      <c r="T950" s="73" t="n"/>
      <c r="U950" s="73" t="n"/>
      <c r="V950" s="73" t="n"/>
      <c r="W950" s="73" t="n"/>
      <c r="X950" s="73" t="n"/>
    </row>
    <row r="951">
      <c r="A951" s="46" t="n"/>
      <c r="B951" s="46" t="n"/>
      <c r="C951" s="46"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row>
    <row r="952">
      <c r="A952" s="73" t="n"/>
      <c r="B952" s="73" t="n"/>
      <c r="C952" s="73" t="n"/>
      <c r="D952" s="73" t="n"/>
      <c r="E952" s="73" t="n"/>
      <c r="F952" s="73" t="n"/>
      <c r="G952" s="73" t="n"/>
      <c r="H952" s="73" t="n"/>
      <c r="I952" s="73" t="n"/>
      <c r="J952" s="73" t="n"/>
      <c r="K952" s="73" t="n"/>
      <c r="L952" s="73" t="n"/>
      <c r="M952" s="73" t="n"/>
      <c r="N952" s="73" t="n"/>
      <c r="O952" s="73" t="n"/>
      <c r="P952" s="73" t="n"/>
      <c r="Q952" s="73" t="n"/>
      <c r="R952" s="73" t="n"/>
      <c r="S952" s="73" t="n"/>
      <c r="T952" s="73" t="n"/>
      <c r="U952" s="73" t="n"/>
      <c r="V952" s="73" t="n"/>
      <c r="W952" s="73" t="n"/>
      <c r="X952" s="73" t="n"/>
    </row>
    <row r="953">
      <c r="A953" s="46" t="n"/>
      <c r="B953" s="46" t="n"/>
      <c r="C953" s="46"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row>
    <row r="954">
      <c r="A954" s="73" t="n"/>
      <c r="B954" s="73" t="n"/>
      <c r="C954" s="73" t="n"/>
      <c r="D954" s="73" t="n"/>
      <c r="E954" s="73" t="n"/>
      <c r="F954" s="73" t="n"/>
      <c r="G954" s="73" t="n"/>
      <c r="H954" s="73" t="n"/>
      <c r="I954" s="73" t="n"/>
      <c r="J954" s="73" t="n"/>
      <c r="K954" s="73" t="n"/>
      <c r="L954" s="73" t="n"/>
      <c r="M954" s="73" t="n"/>
      <c r="N954" s="73" t="n"/>
      <c r="O954" s="73" t="n"/>
      <c r="P954" s="73" t="n"/>
      <c r="Q954" s="73" t="n"/>
      <c r="R954" s="73" t="n"/>
      <c r="S954" s="73" t="n"/>
      <c r="T954" s="73" t="n"/>
      <c r="U954" s="73" t="n"/>
      <c r="V954" s="73" t="n"/>
      <c r="W954" s="73" t="n"/>
      <c r="X954" s="73" t="n"/>
    </row>
    <row r="955">
      <c r="A955" s="46" t="n"/>
      <c r="B955" s="46" t="n"/>
      <c r="C955" s="46"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row>
    <row r="956">
      <c r="A956" s="73" t="n"/>
      <c r="B956" s="73" t="n"/>
      <c r="C956" s="73" t="n"/>
      <c r="D956" s="73" t="n"/>
      <c r="E956" s="73" t="n"/>
      <c r="F956" s="73" t="n"/>
      <c r="G956" s="73" t="n"/>
      <c r="H956" s="73" t="n"/>
      <c r="I956" s="73" t="n"/>
      <c r="J956" s="73" t="n"/>
      <c r="K956" s="73" t="n"/>
      <c r="L956" s="73" t="n"/>
      <c r="M956" s="73" t="n"/>
      <c r="N956" s="73" t="n"/>
      <c r="O956" s="73" t="n"/>
      <c r="P956" s="73" t="n"/>
      <c r="Q956" s="73" t="n"/>
      <c r="R956" s="73" t="n"/>
      <c r="S956" s="73" t="n"/>
      <c r="T956" s="73" t="n"/>
      <c r="U956" s="73" t="n"/>
      <c r="V956" s="73" t="n"/>
      <c r="W956" s="73" t="n"/>
      <c r="X956" s="73" t="n"/>
    </row>
    <row r="957">
      <c r="A957" s="46" t="n"/>
      <c r="B957" s="46" t="n"/>
      <c r="C957" s="46"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row>
    <row r="958">
      <c r="A958" s="73" t="n"/>
      <c r="B958" s="73" t="n"/>
      <c r="C958" s="73" t="n"/>
      <c r="D958" s="73" t="n"/>
      <c r="E958" s="73" t="n"/>
      <c r="F958" s="73" t="n"/>
      <c r="G958" s="73" t="n"/>
      <c r="H958" s="73" t="n"/>
      <c r="I958" s="73" t="n"/>
      <c r="J958" s="73" t="n"/>
      <c r="K958" s="73" t="n"/>
      <c r="L958" s="73" t="n"/>
      <c r="M958" s="73" t="n"/>
      <c r="N958" s="73" t="n"/>
      <c r="O958" s="73" t="n"/>
      <c r="P958" s="73" t="n"/>
      <c r="Q958" s="73" t="n"/>
      <c r="R958" s="73" t="n"/>
      <c r="S958" s="73" t="n"/>
      <c r="T958" s="73" t="n"/>
      <c r="U958" s="73" t="n"/>
      <c r="V958" s="73" t="n"/>
      <c r="W958" s="73" t="n"/>
      <c r="X958" s="73" t="n"/>
    </row>
    <row r="959">
      <c r="A959" s="46" t="n"/>
      <c r="B959" s="46" t="n"/>
      <c r="C959" s="46"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row>
    <row r="960">
      <c r="A960" s="73" t="n"/>
      <c r="B960" s="73" t="n"/>
      <c r="C960" s="73" t="n"/>
      <c r="D960" s="73" t="n"/>
      <c r="E960" s="73" t="n"/>
      <c r="F960" s="73" t="n"/>
      <c r="G960" s="73" t="n"/>
      <c r="H960" s="73" t="n"/>
      <c r="I960" s="73" t="n"/>
      <c r="J960" s="73" t="n"/>
      <c r="K960" s="73" t="n"/>
      <c r="L960" s="73" t="n"/>
      <c r="M960" s="73" t="n"/>
      <c r="N960" s="73" t="n"/>
      <c r="O960" s="73" t="n"/>
      <c r="P960" s="73" t="n"/>
      <c r="Q960" s="73" t="n"/>
      <c r="R960" s="73" t="n"/>
      <c r="S960" s="73" t="n"/>
      <c r="T960" s="73" t="n"/>
      <c r="U960" s="73" t="n"/>
      <c r="V960" s="73" t="n"/>
      <c r="W960" s="73" t="n"/>
      <c r="X960" s="73" t="n"/>
    </row>
    <row r="961">
      <c r="A961" s="46" t="n"/>
      <c r="B961" s="46" t="n"/>
      <c r="C961" s="46"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row>
    <row r="962">
      <c r="A962" s="73" t="n"/>
      <c r="B962" s="73" t="n"/>
      <c r="C962" s="73" t="n"/>
      <c r="D962" s="73" t="n"/>
      <c r="E962" s="73" t="n"/>
      <c r="F962" s="73" t="n"/>
      <c r="G962" s="73" t="n"/>
      <c r="H962" s="73" t="n"/>
      <c r="I962" s="73" t="n"/>
      <c r="J962" s="73" t="n"/>
      <c r="K962" s="73" t="n"/>
      <c r="L962" s="73" t="n"/>
      <c r="M962" s="73" t="n"/>
      <c r="N962" s="73" t="n"/>
      <c r="O962" s="73" t="n"/>
      <c r="P962" s="73" t="n"/>
      <c r="Q962" s="73" t="n"/>
      <c r="R962" s="73" t="n"/>
      <c r="S962" s="73" t="n"/>
      <c r="T962" s="73" t="n"/>
      <c r="U962" s="73" t="n"/>
      <c r="V962" s="73" t="n"/>
      <c r="W962" s="73" t="n"/>
      <c r="X962" s="73" t="n"/>
    </row>
    <row r="963">
      <c r="A963" s="46" t="n"/>
      <c r="B963" s="46" t="n"/>
      <c r="C963" s="46"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row>
    <row r="964">
      <c r="A964" s="73" t="n"/>
      <c r="B964" s="73" t="n"/>
      <c r="C964" s="73" t="n"/>
      <c r="D964" s="73" t="n"/>
      <c r="E964" s="73" t="n"/>
      <c r="F964" s="73" t="n"/>
      <c r="G964" s="73" t="n"/>
      <c r="H964" s="73" t="n"/>
      <c r="I964" s="73" t="n"/>
      <c r="J964" s="73" t="n"/>
      <c r="K964" s="73" t="n"/>
      <c r="L964" s="73" t="n"/>
      <c r="M964" s="73" t="n"/>
      <c r="N964" s="73" t="n"/>
      <c r="O964" s="73" t="n"/>
      <c r="P964" s="73" t="n"/>
      <c r="Q964" s="73" t="n"/>
      <c r="R964" s="73" t="n"/>
      <c r="S964" s="73" t="n"/>
      <c r="T964" s="73" t="n"/>
      <c r="U964" s="73" t="n"/>
      <c r="V964" s="73" t="n"/>
      <c r="W964" s="73" t="n"/>
      <c r="X964" s="73" t="n"/>
    </row>
    <row r="965">
      <c r="A965" s="46" t="n"/>
      <c r="B965" s="46" t="n"/>
      <c r="C965" s="46"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row>
    <row r="966">
      <c r="A966" s="73" t="n"/>
      <c r="B966" s="73" t="n"/>
      <c r="C966" s="73" t="n"/>
      <c r="D966" s="73" t="n"/>
      <c r="E966" s="73" t="n"/>
      <c r="F966" s="73" t="n"/>
      <c r="G966" s="73" t="n"/>
      <c r="H966" s="73" t="n"/>
      <c r="I966" s="73" t="n"/>
      <c r="J966" s="73" t="n"/>
      <c r="K966" s="73" t="n"/>
      <c r="L966" s="73" t="n"/>
      <c r="M966" s="73" t="n"/>
      <c r="N966" s="73" t="n"/>
      <c r="O966" s="73" t="n"/>
      <c r="P966" s="73" t="n"/>
      <c r="Q966" s="73" t="n"/>
      <c r="R966" s="73" t="n"/>
      <c r="S966" s="73" t="n"/>
      <c r="T966" s="73" t="n"/>
      <c r="U966" s="73" t="n"/>
      <c r="V966" s="73" t="n"/>
      <c r="W966" s="73" t="n"/>
      <c r="X966" s="73" t="n"/>
    </row>
    <row r="967">
      <c r="A967" s="46"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row>
    <row r="968">
      <c r="A968" s="73" t="n"/>
      <c r="B968" s="73" t="n"/>
      <c r="C968" s="73" t="n"/>
      <c r="D968" s="73" t="n"/>
      <c r="E968" s="73" t="n"/>
      <c r="F968" s="73" t="n"/>
      <c r="G968" s="73" t="n"/>
      <c r="H968" s="73" t="n"/>
      <c r="I968" s="73" t="n"/>
      <c r="J968" s="73" t="n"/>
      <c r="K968" s="73" t="n"/>
      <c r="L968" s="73" t="n"/>
      <c r="M968" s="73" t="n"/>
      <c r="N968" s="73" t="n"/>
      <c r="O968" s="73" t="n"/>
      <c r="P968" s="73" t="n"/>
      <c r="Q968" s="73" t="n"/>
      <c r="R968" s="73" t="n"/>
      <c r="S968" s="73" t="n"/>
      <c r="T968" s="73" t="n"/>
      <c r="U968" s="73" t="n"/>
      <c r="V968" s="73" t="n"/>
      <c r="W968" s="73" t="n"/>
      <c r="X968" s="73" t="n"/>
    </row>
    <row r="969">
      <c r="A969" s="46" t="n"/>
      <c r="B969" s="46" t="n"/>
      <c r="C969" s="46"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row>
    <row r="970">
      <c r="A970" s="73" t="n"/>
      <c r="B970" s="73" t="n"/>
      <c r="C970" s="73" t="n"/>
      <c r="D970" s="73" t="n"/>
      <c r="E970" s="73" t="n"/>
      <c r="F970" s="73" t="n"/>
      <c r="G970" s="73" t="n"/>
      <c r="H970" s="73" t="n"/>
      <c r="I970" s="73" t="n"/>
      <c r="J970" s="73" t="n"/>
      <c r="K970" s="73" t="n"/>
      <c r="L970" s="73" t="n"/>
      <c r="M970" s="73" t="n"/>
      <c r="N970" s="73" t="n"/>
      <c r="O970" s="73" t="n"/>
      <c r="P970" s="73" t="n"/>
      <c r="Q970" s="73" t="n"/>
      <c r="R970" s="73" t="n"/>
      <c r="S970" s="73" t="n"/>
      <c r="T970" s="73" t="n"/>
      <c r="U970" s="73" t="n"/>
      <c r="V970" s="73" t="n"/>
      <c r="W970" s="73" t="n"/>
      <c r="X970" s="73" t="n"/>
    </row>
    <row r="971">
      <c r="A971" s="46" t="n"/>
      <c r="B971" s="46" t="n"/>
      <c r="C971" s="46"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row>
    <row r="972">
      <c r="A972" s="73" t="n"/>
      <c r="B972" s="73" t="n"/>
      <c r="C972" s="73" t="n"/>
      <c r="D972" s="73" t="n"/>
      <c r="E972" s="73" t="n"/>
      <c r="F972" s="73" t="n"/>
      <c r="G972" s="73" t="n"/>
      <c r="H972" s="73" t="n"/>
      <c r="I972" s="73" t="n"/>
      <c r="J972" s="73" t="n"/>
      <c r="K972" s="73" t="n"/>
      <c r="L972" s="73" t="n"/>
      <c r="M972" s="73" t="n"/>
      <c r="N972" s="73" t="n"/>
      <c r="O972" s="73" t="n"/>
      <c r="P972" s="73" t="n"/>
      <c r="Q972" s="73" t="n"/>
      <c r="R972" s="73" t="n"/>
      <c r="S972" s="73" t="n"/>
      <c r="T972" s="73" t="n"/>
      <c r="U972" s="73" t="n"/>
      <c r="V972" s="73" t="n"/>
      <c r="W972" s="73" t="n"/>
      <c r="X972" s="73" t="n"/>
    </row>
    <row r="973">
      <c r="A973" s="46" t="n"/>
      <c r="B973" s="46" t="n"/>
      <c r="C973" s="46"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row>
    <row r="974">
      <c r="A974" s="73" t="n"/>
      <c r="B974" s="73" t="n"/>
      <c r="C974" s="73" t="n"/>
      <c r="D974" s="73" t="n"/>
      <c r="E974" s="73" t="n"/>
      <c r="F974" s="73" t="n"/>
      <c r="G974" s="73" t="n"/>
      <c r="H974" s="73" t="n"/>
      <c r="I974" s="73" t="n"/>
      <c r="J974" s="73" t="n"/>
      <c r="K974" s="73" t="n"/>
      <c r="L974" s="73" t="n"/>
      <c r="M974" s="73" t="n"/>
      <c r="N974" s="73" t="n"/>
      <c r="O974" s="73" t="n"/>
      <c r="P974" s="73" t="n"/>
      <c r="Q974" s="73" t="n"/>
      <c r="R974" s="73" t="n"/>
      <c r="S974" s="73" t="n"/>
      <c r="T974" s="73" t="n"/>
      <c r="U974" s="73" t="n"/>
      <c r="V974" s="73" t="n"/>
      <c r="W974" s="73" t="n"/>
      <c r="X974" s="73" t="n"/>
    </row>
    <row r="975">
      <c r="A975" s="71" t="n"/>
      <c r="B975" s="46" t="n"/>
      <c r="C975" s="46" t="n"/>
      <c r="D975" s="46" t="n"/>
      <c r="E975" s="46" t="n"/>
      <c r="F975" s="46" t="n"/>
      <c r="G975" s="46" t="n"/>
      <c r="H975" s="46" t="n"/>
      <c r="I975" s="46" t="n"/>
      <c r="J975" s="46" t="n"/>
      <c r="K975" s="46" t="n"/>
      <c r="L975" s="46" t="n"/>
      <c r="M975" s="46" t="n"/>
      <c r="N975" s="71" t="n"/>
      <c r="O975" s="71" t="n"/>
      <c r="P975" s="71" t="n"/>
      <c r="Q975" s="71" t="n"/>
      <c r="R975" s="71" t="n"/>
      <c r="S975" s="71" t="n"/>
      <c r="T975" s="71" t="n"/>
      <c r="U975" s="71" t="n"/>
      <c r="V975" s="71" t="n"/>
      <c r="W975" s="71" t="n"/>
      <c r="X975" s="71" t="n"/>
    </row>
    <row r="976">
      <c r="A976" s="72" t="n"/>
      <c r="B976" s="73" t="n"/>
      <c r="C976" s="73" t="n"/>
      <c r="D976" s="73" t="n"/>
      <c r="E976" s="73" t="n"/>
      <c r="F976" s="73" t="n"/>
      <c r="G976" s="73" t="n"/>
      <c r="H976" s="73" t="n"/>
      <c r="I976" s="73" t="n"/>
      <c r="J976" s="73" t="n"/>
      <c r="K976" s="73" t="n"/>
      <c r="L976" s="73" t="n"/>
      <c r="M976" s="73" t="n"/>
      <c r="N976" s="72" t="n"/>
      <c r="O976" s="72" t="n"/>
      <c r="P976" s="72" t="n"/>
      <c r="Q976" s="72" t="n"/>
      <c r="R976" s="72" t="n"/>
      <c r="S976" s="72" t="n"/>
      <c r="T976" s="72" t="n"/>
      <c r="U976" s="72" t="n"/>
      <c r="V976" s="72" t="n"/>
      <c r="W976" s="72" t="n"/>
      <c r="X976" s="72" t="n"/>
    </row>
    <row r="977">
      <c r="A977" s="71" t="n"/>
      <c r="B977" s="46" t="n"/>
      <c r="C977" s="46" t="n"/>
      <c r="D977" s="46" t="n"/>
      <c r="E977" s="46" t="n"/>
      <c r="F977" s="46" t="n"/>
      <c r="G977" s="46" t="n"/>
      <c r="H977" s="46" t="n"/>
      <c r="I977" s="46" t="n"/>
      <c r="J977" s="46" t="n"/>
      <c r="K977" s="46" t="n"/>
      <c r="L977" s="46" t="n"/>
      <c r="M977" s="46" t="n"/>
      <c r="N977" s="71" t="n"/>
      <c r="O977" s="71" t="n"/>
      <c r="P977" s="71" t="n"/>
      <c r="Q977" s="71" t="n"/>
      <c r="R977" s="71" t="n"/>
      <c r="S977" s="71" t="n"/>
      <c r="T977" s="71" t="n"/>
      <c r="U977" s="71" t="n"/>
      <c r="V977" s="71" t="n"/>
      <c r="W977" s="71" t="n"/>
      <c r="X977" s="71" t="n"/>
    </row>
    <row r="978">
      <c r="A978" s="72" t="n"/>
      <c r="B978" s="73" t="n"/>
      <c r="C978" s="73" t="n"/>
      <c r="D978" s="73" t="n"/>
      <c r="E978" s="73" t="n"/>
      <c r="F978" s="73" t="n"/>
      <c r="G978" s="73" t="n"/>
      <c r="H978" s="73" t="n"/>
      <c r="I978" s="73" t="n"/>
      <c r="J978" s="73" t="n"/>
      <c r="K978" s="73" t="n"/>
      <c r="L978" s="73" t="n"/>
      <c r="M978" s="73" t="n"/>
      <c r="N978" s="72" t="n"/>
      <c r="O978" s="72" t="n"/>
      <c r="P978" s="72" t="n"/>
      <c r="Q978" s="72" t="n"/>
      <c r="R978" s="72" t="n"/>
      <c r="S978" s="72" t="n"/>
      <c r="T978" s="72" t="n"/>
      <c r="U978" s="72" t="n"/>
      <c r="V978" s="72" t="n"/>
      <c r="W978" s="72" t="n"/>
      <c r="X978" s="72" t="n"/>
    </row>
    <row r="979">
      <c r="A979" s="71" t="n"/>
      <c r="B979" s="46" t="n"/>
      <c r="C979" s="46" t="n"/>
      <c r="D979" s="46" t="n"/>
      <c r="E979" s="46" t="n"/>
      <c r="F979" s="46" t="n"/>
      <c r="G979" s="46" t="n"/>
      <c r="H979" s="46" t="n"/>
      <c r="I979" s="46" t="n"/>
      <c r="J979" s="46" t="n"/>
      <c r="K979" s="46" t="n"/>
      <c r="L979" s="46" t="n"/>
      <c r="M979" s="46" t="n"/>
      <c r="N979" s="71" t="n"/>
      <c r="O979" s="71" t="n"/>
      <c r="P979" s="71" t="n"/>
      <c r="Q979" s="71" t="n"/>
      <c r="R979" s="71" t="n"/>
      <c r="S979" s="71" t="n"/>
      <c r="T979" s="71" t="n"/>
      <c r="U979" s="71" t="n"/>
      <c r="V979" s="71" t="n"/>
      <c r="W979" s="71" t="n"/>
      <c r="X979" s="71" t="n"/>
    </row>
    <row r="980">
      <c r="A980" s="72" t="n"/>
      <c r="B980" s="73" t="n"/>
      <c r="C980" s="73" t="n"/>
      <c r="D980" s="73" t="n"/>
      <c r="E980" s="73" t="n"/>
      <c r="F980" s="73" t="n"/>
      <c r="G980" s="73" t="n"/>
      <c r="H980" s="73" t="n"/>
      <c r="I980" s="73" t="n"/>
      <c r="J980" s="73" t="n"/>
      <c r="K980" s="73" t="n"/>
      <c r="L980" s="73" t="n"/>
      <c r="M980" s="73" t="n"/>
      <c r="N980" s="72" t="n"/>
      <c r="O980" s="72" t="n"/>
      <c r="P980" s="72" t="n"/>
      <c r="Q980" s="72" t="n"/>
      <c r="R980" s="72" t="n"/>
      <c r="S980" s="72" t="n"/>
      <c r="T980" s="72" t="n"/>
      <c r="U980" s="72" t="n"/>
      <c r="V980" s="72" t="n"/>
      <c r="W980" s="72" t="n"/>
      <c r="X980" s="72" t="n"/>
    </row>
    <row r="981">
      <c r="A981" s="71" t="n"/>
      <c r="B981" s="46" t="n"/>
      <c r="C981" s="46" t="n"/>
      <c r="D981" s="46" t="n"/>
      <c r="E981" s="46" t="n"/>
      <c r="F981" s="46" t="n"/>
      <c r="G981" s="46" t="n"/>
      <c r="H981" s="46" t="n"/>
      <c r="I981" s="46" t="n"/>
      <c r="J981" s="46" t="n"/>
      <c r="K981" s="46" t="n"/>
      <c r="L981" s="46" t="n"/>
      <c r="M981" s="46" t="n"/>
      <c r="N981" s="71" t="n"/>
      <c r="O981" s="71" t="n"/>
      <c r="P981" s="71" t="n"/>
      <c r="Q981" s="71" t="n"/>
      <c r="R981" s="71" t="n"/>
      <c r="S981" s="71" t="n"/>
      <c r="T981" s="71" t="n"/>
      <c r="U981" s="71" t="n"/>
      <c r="V981" s="71" t="n"/>
      <c r="W981" s="71" t="n"/>
      <c r="X981" s="71" t="n"/>
    </row>
    <row r="982">
      <c r="A982" s="72" t="n"/>
      <c r="B982" s="73" t="n"/>
      <c r="C982" s="73" t="n"/>
      <c r="D982" s="73" t="n"/>
      <c r="E982" s="73" t="n"/>
      <c r="F982" s="73" t="n"/>
      <c r="G982" s="73" t="n"/>
      <c r="H982" s="73" t="n"/>
      <c r="I982" s="73" t="n"/>
      <c r="J982" s="73" t="n"/>
      <c r="K982" s="73" t="n"/>
      <c r="L982" s="73" t="n"/>
      <c r="M982" s="73" t="n"/>
      <c r="N982" s="72" t="n"/>
      <c r="O982" s="72" t="n"/>
      <c r="P982" s="72" t="n"/>
      <c r="Q982" s="72" t="n"/>
      <c r="R982" s="72" t="n"/>
      <c r="S982" s="72" t="n"/>
      <c r="T982" s="72" t="n"/>
      <c r="U982" s="72" t="n"/>
      <c r="V982" s="72" t="n"/>
      <c r="W982" s="72" t="n"/>
      <c r="X982" s="72" t="n"/>
    </row>
    <row r="983">
      <c r="A983" s="71" t="n"/>
      <c r="B983" s="46" t="n"/>
      <c r="C983" s="46" t="n"/>
      <c r="D983" s="46" t="n"/>
      <c r="E983" s="46" t="n"/>
      <c r="F983" s="46" t="n"/>
      <c r="G983" s="46" t="n"/>
      <c r="H983" s="46" t="n"/>
      <c r="I983" s="46" t="n"/>
      <c r="J983" s="46" t="n"/>
      <c r="K983" s="46" t="n"/>
      <c r="L983" s="46" t="n"/>
      <c r="M983" s="46" t="n"/>
      <c r="N983" s="71" t="n"/>
      <c r="O983" s="71" t="n"/>
      <c r="P983" s="71" t="n"/>
      <c r="Q983" s="71" t="n"/>
      <c r="R983" s="71" t="n"/>
      <c r="S983" s="71" t="n"/>
      <c r="T983" s="71" t="n"/>
      <c r="U983" s="71" t="n"/>
      <c r="V983" s="71" t="n"/>
      <c r="W983" s="71" t="n"/>
      <c r="X983" s="71" t="n"/>
    </row>
    <row r="984">
      <c r="A984" s="72" t="n"/>
      <c r="B984" s="73" t="n"/>
      <c r="C984" s="73" t="n"/>
      <c r="D984" s="73" t="n"/>
      <c r="E984" s="73" t="n"/>
      <c r="F984" s="73" t="n"/>
      <c r="G984" s="73" t="n"/>
      <c r="H984" s="73" t="n"/>
      <c r="I984" s="73" t="n"/>
      <c r="J984" s="73" t="n"/>
      <c r="K984" s="73" t="n"/>
      <c r="L984" s="73" t="n"/>
      <c r="M984" s="73" t="n"/>
      <c r="N984" s="72" t="n"/>
      <c r="O984" s="72" t="n"/>
      <c r="P984" s="72" t="n"/>
      <c r="Q984" s="72" t="n"/>
      <c r="R984" s="72" t="n"/>
      <c r="S984" s="72" t="n"/>
      <c r="T984" s="72" t="n"/>
      <c r="U984" s="72" t="n"/>
      <c r="V984" s="72" t="n"/>
      <c r="W984" s="72" t="n"/>
      <c r="X984" s="72" t="n"/>
    </row>
    <row r="985">
      <c r="A985" s="71" t="n"/>
      <c r="B985" s="46" t="n"/>
      <c r="C985" s="46" t="n"/>
      <c r="D985" s="46" t="n"/>
      <c r="E985" s="46" t="n"/>
      <c r="F985" s="46" t="n"/>
      <c r="G985" s="46" t="n"/>
      <c r="H985" s="46" t="n"/>
      <c r="I985" s="46" t="n"/>
      <c r="J985" s="46" t="n"/>
      <c r="K985" s="46" t="n"/>
      <c r="L985" s="46" t="n"/>
      <c r="M985" s="46" t="n"/>
      <c r="N985" s="71" t="n"/>
      <c r="O985" s="71" t="n"/>
      <c r="P985" s="71" t="n"/>
      <c r="Q985" s="71" t="n"/>
      <c r="R985" s="71" t="n"/>
      <c r="S985" s="71" t="n"/>
      <c r="T985" s="71" t="n"/>
      <c r="U985" s="71" t="n"/>
      <c r="V985" s="71" t="n"/>
      <c r="W985" s="71" t="n"/>
      <c r="X985" s="71" t="n"/>
    </row>
    <row r="986">
      <c r="A986" s="72" t="n"/>
      <c r="B986" s="73" t="n"/>
      <c r="C986" s="73" t="n"/>
      <c r="D986" s="73" t="n"/>
      <c r="E986" s="73" t="n"/>
      <c r="F986" s="73" t="n"/>
      <c r="G986" s="73" t="n"/>
      <c r="H986" s="73" t="n"/>
      <c r="I986" s="73" t="n"/>
      <c r="J986" s="73" t="n"/>
      <c r="K986" s="73" t="n"/>
      <c r="L986" s="73" t="n"/>
      <c r="M986" s="73" t="n"/>
      <c r="N986" s="72" t="n"/>
      <c r="O986" s="72" t="n"/>
      <c r="P986" s="72" t="n"/>
      <c r="Q986" s="72" t="n"/>
      <c r="R986" s="72" t="n"/>
      <c r="S986" s="72" t="n"/>
      <c r="T986" s="72" t="n"/>
      <c r="U986" s="72" t="n"/>
      <c r="V986" s="72" t="n"/>
      <c r="W986" s="72" t="n"/>
      <c r="X986" s="72" t="n"/>
    </row>
    <row r="987">
      <c r="A987" s="71" t="n"/>
      <c r="B987" s="46" t="n"/>
      <c r="C987" s="46" t="n"/>
      <c r="D987" s="46" t="n"/>
      <c r="E987" s="46" t="n"/>
      <c r="F987" s="46" t="n"/>
      <c r="G987" s="46" t="n"/>
      <c r="H987" s="46" t="n"/>
      <c r="I987" s="46" t="n"/>
      <c r="J987" s="46" t="n"/>
      <c r="K987" s="46" t="n"/>
      <c r="L987" s="46" t="n"/>
      <c r="M987" s="46" t="n"/>
      <c r="N987" s="71" t="n"/>
      <c r="O987" s="71" t="n"/>
      <c r="P987" s="71" t="n"/>
      <c r="Q987" s="71" t="n"/>
      <c r="R987" s="71" t="n"/>
      <c r="S987" s="71" t="n"/>
      <c r="T987" s="71" t="n"/>
      <c r="U987" s="71" t="n"/>
      <c r="V987" s="71" t="n"/>
      <c r="W987" s="71" t="n"/>
      <c r="X987" s="71" t="n"/>
    </row>
    <row r="988">
      <c r="A988" s="72" t="n"/>
      <c r="B988" s="73" t="n"/>
      <c r="C988" s="73" t="n"/>
      <c r="D988" s="73" t="n"/>
      <c r="E988" s="73" t="n"/>
      <c r="F988" s="73" t="n"/>
      <c r="G988" s="73" t="n"/>
      <c r="H988" s="73" t="n"/>
      <c r="I988" s="73" t="n"/>
      <c r="J988" s="73" t="n"/>
      <c r="K988" s="73" t="n"/>
      <c r="L988" s="73" t="n"/>
      <c r="M988" s="73" t="n"/>
      <c r="N988" s="72" t="n"/>
      <c r="O988" s="72" t="n"/>
      <c r="P988" s="72" t="n"/>
      <c r="Q988" s="72" t="n"/>
      <c r="R988" s="72" t="n"/>
      <c r="S988" s="72" t="n"/>
      <c r="T988" s="72" t="n"/>
      <c r="U988" s="72" t="n"/>
      <c r="V988" s="72" t="n"/>
      <c r="W988" s="72" t="n"/>
      <c r="X988" s="72" t="n"/>
    </row>
    <row r="989">
      <c r="A989" s="71" t="n"/>
      <c r="B989" s="46" t="n"/>
      <c r="C989" s="46" t="n"/>
      <c r="D989" s="46" t="n"/>
      <c r="E989" s="46" t="n"/>
      <c r="F989" s="46" t="n"/>
      <c r="G989" s="46" t="n"/>
      <c r="H989" s="46" t="n"/>
      <c r="I989" s="46" t="n"/>
      <c r="J989" s="46" t="n"/>
      <c r="K989" s="46" t="n"/>
      <c r="L989" s="46" t="n"/>
      <c r="M989" s="46" t="n"/>
      <c r="N989" s="71" t="n"/>
      <c r="O989" s="71" t="n"/>
      <c r="P989" s="71" t="n"/>
      <c r="Q989" s="71" t="n"/>
      <c r="R989" s="71" t="n"/>
      <c r="S989" s="71" t="n"/>
      <c r="T989" s="71" t="n"/>
      <c r="U989" s="71" t="n"/>
      <c r="V989" s="71" t="n"/>
      <c r="W989" s="71" t="n"/>
      <c r="X989" s="71" t="n"/>
    </row>
    <row r="990">
      <c r="A990" s="72" t="n"/>
      <c r="B990" s="73" t="n"/>
      <c r="C990" s="73" t="n"/>
      <c r="D990" s="73" t="n"/>
      <c r="E990" s="73" t="n"/>
      <c r="F990" s="73" t="n"/>
      <c r="G990" s="73" t="n"/>
      <c r="H990" s="73" t="n"/>
      <c r="I990" s="73" t="n"/>
      <c r="J990" s="73" t="n"/>
      <c r="K990" s="73" t="n"/>
      <c r="L990" s="73" t="n"/>
      <c r="M990" s="73" t="n"/>
      <c r="N990" s="72" t="n"/>
      <c r="O990" s="72" t="n"/>
      <c r="P990" s="72" t="n"/>
      <c r="Q990" s="72" t="n"/>
      <c r="R990" s="72" t="n"/>
      <c r="S990" s="72" t="n"/>
      <c r="T990" s="72" t="n"/>
      <c r="U990" s="72" t="n"/>
      <c r="V990" s="72" t="n"/>
      <c r="W990" s="72" t="n"/>
      <c r="X990" s="72" t="n"/>
    </row>
    <row r="991">
      <c r="A991" s="71" t="n"/>
      <c r="B991" s="46" t="n"/>
      <c r="C991" s="46" t="n"/>
      <c r="D991" s="46" t="n"/>
      <c r="E991" s="46" t="n"/>
      <c r="F991" s="46" t="n"/>
      <c r="G991" s="46" t="n"/>
      <c r="H991" s="46" t="n"/>
      <c r="I991" s="46" t="n"/>
      <c r="J991" s="46" t="n"/>
      <c r="K991" s="46" t="n"/>
      <c r="L991" s="46" t="n"/>
      <c r="M991" s="46" t="n"/>
      <c r="N991" s="71" t="n"/>
      <c r="O991" s="71" t="n"/>
      <c r="P991" s="71" t="n"/>
      <c r="Q991" s="71" t="n"/>
      <c r="R991" s="71" t="n"/>
      <c r="S991" s="71" t="n"/>
      <c r="T991" s="71" t="n"/>
      <c r="U991" s="71" t="n"/>
      <c r="V991" s="71" t="n"/>
      <c r="W991" s="71" t="n"/>
      <c r="X991" s="71" t="n"/>
    </row>
    <row r="992">
      <c r="A992" s="72" t="n"/>
      <c r="B992" s="73" t="n"/>
      <c r="C992" s="73" t="n"/>
      <c r="D992" s="73" t="n"/>
      <c r="E992" s="73" t="n"/>
      <c r="F992" s="73" t="n"/>
      <c r="G992" s="73" t="n"/>
      <c r="H992" s="73" t="n"/>
      <c r="I992" s="73" t="n"/>
      <c r="J992" s="73" t="n"/>
      <c r="K992" s="73" t="n"/>
      <c r="L992" s="73" t="n"/>
      <c r="M992" s="73" t="n"/>
      <c r="N992" s="72" t="n"/>
      <c r="O992" s="72" t="n"/>
      <c r="P992" s="72" t="n"/>
      <c r="Q992" s="72" t="n"/>
      <c r="R992" s="72" t="n"/>
      <c r="S992" s="72" t="n"/>
      <c r="T992" s="72" t="n"/>
      <c r="U992" s="72" t="n"/>
      <c r="V992" s="72" t="n"/>
      <c r="W992" s="72" t="n"/>
      <c r="X992" s="72" t="n"/>
    </row>
    <row r="993">
      <c r="A993" s="71" t="n"/>
      <c r="B993" s="46" t="n"/>
      <c r="C993" s="46" t="n"/>
      <c r="D993" s="46" t="n"/>
      <c r="E993" s="46" t="n"/>
      <c r="F993" s="46" t="n"/>
      <c r="G993" s="46" t="n"/>
      <c r="H993" s="46" t="n"/>
      <c r="I993" s="46" t="n"/>
      <c r="J993" s="46" t="n"/>
      <c r="K993" s="46" t="n"/>
      <c r="L993" s="46" t="n"/>
      <c r="M993" s="46" t="n"/>
      <c r="N993" s="71" t="n"/>
      <c r="O993" s="71" t="n"/>
      <c r="P993" s="71" t="n"/>
      <c r="Q993" s="71" t="n"/>
      <c r="R993" s="71" t="n"/>
      <c r="S993" s="71" t="n"/>
      <c r="T993" s="71" t="n"/>
      <c r="U993" s="71" t="n"/>
      <c r="V993" s="71" t="n"/>
      <c r="W993" s="71" t="n"/>
      <c r="X993" s="71" t="n"/>
    </row>
    <row r="994">
      <c r="A994" s="72" t="n"/>
      <c r="B994" s="73" t="n"/>
      <c r="C994" s="73" t="n"/>
      <c r="D994" s="73" t="n"/>
      <c r="E994" s="73" t="n"/>
      <c r="F994" s="73" t="n"/>
      <c r="G994" s="73" t="n"/>
      <c r="H994" s="73" t="n"/>
      <c r="I994" s="73" t="n"/>
      <c r="J994" s="73" t="n"/>
      <c r="K994" s="73" t="n"/>
      <c r="L994" s="73" t="n"/>
      <c r="M994" s="73" t="n"/>
      <c r="N994" s="72" t="n"/>
      <c r="O994" s="72" t="n"/>
      <c r="P994" s="72" t="n"/>
      <c r="Q994" s="72" t="n"/>
      <c r="R994" s="72" t="n"/>
      <c r="S994" s="72" t="n"/>
      <c r="T994" s="72" t="n"/>
      <c r="U994" s="72" t="n"/>
      <c r="V994" s="72" t="n"/>
      <c r="W994" s="72" t="n"/>
      <c r="X994" s="72" t="n"/>
    </row>
    <row r="995">
      <c r="A995" s="71" t="n"/>
      <c r="B995" s="46" t="n"/>
      <c r="C995" s="46" t="n"/>
      <c r="D995" s="46" t="n"/>
      <c r="E995" s="46" t="n"/>
      <c r="F995" s="46" t="n"/>
      <c r="G995" s="46" t="n"/>
      <c r="H995" s="46" t="n"/>
      <c r="I995" s="46" t="n"/>
      <c r="J995" s="46" t="n"/>
      <c r="K995" s="46" t="n"/>
      <c r="L995" s="46" t="n"/>
      <c r="M995" s="46" t="n"/>
      <c r="N995" s="71" t="n"/>
      <c r="O995" s="71" t="n"/>
      <c r="P995" s="71" t="n"/>
      <c r="Q995" s="71" t="n"/>
      <c r="R995" s="71" t="n"/>
      <c r="S995" s="71" t="n"/>
      <c r="T995" s="71" t="n"/>
      <c r="U995" s="71" t="n"/>
      <c r="V995" s="71" t="n"/>
      <c r="W995" s="71" t="n"/>
      <c r="X995" s="71" t="n"/>
    </row>
    <row r="996">
      <c r="A996" s="72" t="n"/>
      <c r="B996" s="73" t="n"/>
      <c r="C996" s="73" t="n"/>
      <c r="D996" s="73" t="n"/>
      <c r="E996" s="73" t="n"/>
      <c r="F996" s="73" t="n"/>
      <c r="G996" s="73" t="n"/>
      <c r="H996" s="73" t="n"/>
      <c r="I996" s="73" t="n"/>
      <c r="J996" s="73" t="n"/>
      <c r="K996" s="73" t="n"/>
      <c r="L996" s="73" t="n"/>
      <c r="M996" s="73" t="n"/>
      <c r="N996" s="72" t="n"/>
      <c r="O996" s="72" t="n"/>
      <c r="P996" s="72" t="n"/>
      <c r="Q996" s="72" t="n"/>
      <c r="R996" s="72" t="n"/>
      <c r="S996" s="72" t="n"/>
      <c r="T996" s="72" t="n"/>
      <c r="U996" s="72" t="n"/>
      <c r="V996" s="72" t="n"/>
      <c r="W996" s="72" t="n"/>
      <c r="X996" s="72" t="n"/>
    </row>
    <row r="997">
      <c r="A997" s="71" t="n"/>
      <c r="B997" s="46" t="n"/>
      <c r="C997" s="46" t="n"/>
      <c r="D997" s="46" t="n"/>
      <c r="E997" s="46" t="n"/>
      <c r="F997" s="46" t="n"/>
      <c r="G997" s="46" t="n"/>
      <c r="H997" s="46" t="n"/>
      <c r="I997" s="46" t="n"/>
      <c r="J997" s="46" t="n"/>
      <c r="K997" s="46" t="n"/>
      <c r="L997" s="46" t="n"/>
      <c r="M997" s="46" t="n"/>
      <c r="N997" s="71" t="n"/>
      <c r="O997" s="71" t="n"/>
      <c r="P997" s="71" t="n"/>
      <c r="Q997" s="71" t="n"/>
      <c r="R997" s="71" t="n"/>
      <c r="S997" s="71" t="n"/>
      <c r="T997" s="71" t="n"/>
      <c r="U997" s="71" t="n"/>
      <c r="V997" s="71" t="n"/>
      <c r="W997" s="71" t="n"/>
      <c r="X997" s="71" t="n"/>
    </row>
    <row r="998">
      <c r="A998" s="72" t="n"/>
      <c r="B998" s="73" t="n"/>
      <c r="C998" s="73" t="n"/>
      <c r="D998" s="73" t="n"/>
      <c r="E998" s="73" t="n"/>
      <c r="F998" s="73" t="n"/>
      <c r="G998" s="73" t="n"/>
      <c r="H998" s="73" t="n"/>
      <c r="I998" s="73" t="n"/>
      <c r="J998" s="73" t="n"/>
      <c r="K998" s="73" t="n"/>
      <c r="L998" s="73" t="n"/>
      <c r="M998" s="73" t="n"/>
      <c r="N998" s="72" t="n"/>
      <c r="O998" s="72" t="n"/>
      <c r="P998" s="72" t="n"/>
      <c r="Q998" s="72" t="n"/>
      <c r="R998" s="72" t="n"/>
      <c r="S998" s="72" t="n"/>
      <c r="T998" s="72" t="n"/>
      <c r="U998" s="72" t="n"/>
      <c r="V998" s="72" t="n"/>
      <c r="W998" s="72" t="n"/>
      <c r="X998" s="72" t="n"/>
    </row>
    <row r="999">
      <c r="A999" s="71" t="n"/>
      <c r="B999" s="46" t="n"/>
      <c r="C999" s="46" t="n"/>
      <c r="D999" s="46" t="n"/>
      <c r="E999" s="46" t="n"/>
      <c r="F999" s="46" t="n"/>
      <c r="G999" s="46" t="n"/>
      <c r="H999" s="46" t="n"/>
      <c r="I999" s="46" t="n"/>
      <c r="J999" s="46" t="n"/>
      <c r="K999" s="46" t="n"/>
      <c r="L999" s="46" t="n"/>
      <c r="M999" s="46" t="n"/>
      <c r="N999" s="71" t="n"/>
      <c r="O999" s="71" t="n"/>
      <c r="P999" s="71" t="n"/>
      <c r="Q999" s="71" t="n"/>
      <c r="R999" s="71" t="n"/>
      <c r="S999" s="71" t="n"/>
      <c r="T999" s="71" t="n"/>
      <c r="U999" s="71" t="n"/>
      <c r="V999" s="71" t="n"/>
      <c r="W999" s="71" t="n"/>
      <c r="X999" s="71" t="n"/>
    </row>
    <row r="1000">
      <c r="A1000" s="72" t="n"/>
      <c r="B1000" s="73" t="n"/>
      <c r="C1000" s="73" t="n"/>
      <c r="D1000" s="73" t="n"/>
      <c r="E1000" s="73" t="n"/>
      <c r="F1000" s="73" t="n"/>
      <c r="G1000" s="73" t="n"/>
      <c r="H1000" s="73" t="n"/>
      <c r="I1000" s="73" t="n"/>
      <c r="J1000" s="73" t="n"/>
      <c r="K1000" s="73" t="n"/>
      <c r="L1000" s="73" t="n"/>
      <c r="M1000" s="73" t="n"/>
      <c r="N1000" s="72" t="n"/>
      <c r="O1000" s="72" t="n"/>
      <c r="P1000" s="72" t="n"/>
      <c r="Q1000" s="72" t="n"/>
      <c r="R1000" s="72" t="n"/>
      <c r="S1000" s="72" t="n"/>
      <c r="T1000" s="72" t="n"/>
      <c r="U1000" s="72" t="n"/>
      <c r="V1000" s="72" t="n"/>
      <c r="W1000" s="72" t="n"/>
      <c r="X1000" s="72" t="n"/>
    </row>
    <row r="1001">
      <c r="A1001" s="71" t="n"/>
      <c r="B1001" s="46" t="n"/>
      <c r="C1001" s="46" t="n"/>
      <c r="D1001" s="46" t="n"/>
      <c r="E1001" s="46" t="n"/>
      <c r="F1001" s="46" t="n"/>
      <c r="G1001" s="46" t="n"/>
      <c r="H1001" s="46" t="n"/>
      <c r="I1001" s="46" t="n"/>
      <c r="J1001" s="46" t="n"/>
      <c r="K1001" s="46" t="n"/>
      <c r="L1001" s="46" t="n"/>
      <c r="M1001" s="46" t="n"/>
      <c r="N1001" s="71" t="n"/>
      <c r="O1001" s="71" t="n"/>
      <c r="P1001" s="71" t="n"/>
      <c r="Q1001" s="71" t="n"/>
      <c r="R1001" s="71" t="n"/>
      <c r="S1001" s="71" t="n"/>
      <c r="T1001" s="71" t="n"/>
      <c r="U1001" s="71" t="n"/>
      <c r="V1001" s="71" t="n"/>
      <c r="W1001" s="71" t="n"/>
      <c r="X1001" s="71" t="n"/>
    </row>
    <row r="1002">
      <c r="A1002" s="72" t="n"/>
      <c r="B1002" s="73" t="n"/>
      <c r="C1002" s="73" t="n"/>
      <c r="D1002" s="73" t="n"/>
      <c r="E1002" s="73" t="n"/>
      <c r="F1002" s="73" t="n"/>
      <c r="G1002" s="73" t="n"/>
      <c r="H1002" s="73" t="n"/>
      <c r="I1002" s="73" t="n"/>
      <c r="J1002" s="73" t="n"/>
      <c r="K1002" s="73" t="n"/>
      <c r="L1002" s="73" t="n"/>
      <c r="M1002" s="73" t="n"/>
      <c r="N1002" s="72" t="n"/>
      <c r="O1002" s="72" t="n"/>
      <c r="P1002" s="72" t="n"/>
      <c r="Q1002" s="72" t="n"/>
      <c r="R1002" s="72" t="n"/>
      <c r="S1002" s="72" t="n"/>
      <c r="T1002" s="72" t="n"/>
      <c r="U1002" s="72" t="n"/>
      <c r="V1002" s="72" t="n"/>
      <c r="W1002" s="72" t="n"/>
      <c r="X1002" s="72" t="n"/>
    </row>
    <row r="1003">
      <c r="A1003" s="71" t="n"/>
      <c r="B1003" s="46" t="n"/>
      <c r="C1003" s="46" t="n"/>
      <c r="D1003" s="46" t="n"/>
      <c r="E1003" s="46" t="n"/>
      <c r="F1003" s="46" t="n"/>
      <c r="G1003" s="46" t="n"/>
      <c r="H1003" s="46" t="n"/>
      <c r="I1003" s="46" t="n"/>
      <c r="J1003" s="46" t="n"/>
      <c r="K1003" s="46" t="n"/>
      <c r="L1003" s="46" t="n"/>
      <c r="M1003" s="46" t="n"/>
      <c r="N1003" s="71" t="n"/>
      <c r="O1003" s="71" t="n"/>
      <c r="P1003" s="71" t="n"/>
      <c r="Q1003" s="71" t="n"/>
      <c r="R1003" s="71" t="n"/>
      <c r="S1003" s="71" t="n"/>
      <c r="T1003" s="71" t="n"/>
      <c r="U1003" s="71" t="n"/>
      <c r="V1003" s="71" t="n"/>
      <c r="W1003" s="71" t="n"/>
      <c r="X1003" s="71" t="n"/>
    </row>
    <row r="1004">
      <c r="A1004" s="72" t="n"/>
      <c r="B1004" s="73" t="n"/>
      <c r="C1004" s="73" t="n"/>
      <c r="D1004" s="73" t="n"/>
      <c r="E1004" s="73" t="n"/>
      <c r="F1004" s="73" t="n"/>
      <c r="G1004" s="73" t="n"/>
      <c r="H1004" s="73" t="n"/>
      <c r="I1004" s="73" t="n"/>
      <c r="J1004" s="73" t="n"/>
      <c r="K1004" s="73" t="n"/>
      <c r="L1004" s="73" t="n"/>
      <c r="M1004" s="73" t="n"/>
      <c r="N1004" s="72" t="n"/>
      <c r="O1004" s="72" t="n"/>
      <c r="P1004" s="72" t="n"/>
      <c r="Q1004" s="72" t="n"/>
      <c r="R1004" s="72" t="n"/>
      <c r="S1004" s="72" t="n"/>
      <c r="T1004" s="72" t="n"/>
      <c r="U1004" s="72" t="n"/>
      <c r="V1004" s="72" t="n"/>
      <c r="W1004" s="72" t="n"/>
      <c r="X1004" s="72" t="n"/>
    </row>
    <row r="1005">
      <c r="A1005" s="71" t="n"/>
      <c r="B1005" s="46" t="n"/>
      <c r="C1005" s="46" t="n"/>
      <c r="D1005" s="46" t="n"/>
      <c r="E1005" s="46" t="n"/>
      <c r="F1005" s="46" t="n"/>
      <c r="G1005" s="46" t="n"/>
      <c r="H1005" s="46" t="n"/>
      <c r="I1005" s="46" t="n"/>
      <c r="J1005" s="46" t="n"/>
      <c r="K1005" s="46" t="n"/>
      <c r="L1005" s="46" t="n"/>
      <c r="M1005" s="46" t="n"/>
      <c r="N1005" s="71" t="n"/>
      <c r="O1005" s="71" t="n"/>
      <c r="P1005" s="71" t="n"/>
      <c r="Q1005" s="71" t="n"/>
      <c r="R1005" s="71" t="n"/>
      <c r="S1005" s="71" t="n"/>
      <c r="T1005" s="71" t="n"/>
      <c r="U1005" s="71" t="n"/>
      <c r="V1005" s="71" t="n"/>
      <c r="W1005" s="71" t="n"/>
      <c r="X1005" s="71" t="n"/>
    </row>
    <row r="1006">
      <c r="A1006" s="72" t="n"/>
      <c r="B1006" s="73" t="n"/>
      <c r="C1006" s="73" t="n"/>
      <c r="D1006" s="73" t="n"/>
      <c r="E1006" s="73" t="n"/>
      <c r="F1006" s="73" t="n"/>
      <c r="G1006" s="73" t="n"/>
      <c r="H1006" s="73" t="n"/>
      <c r="I1006" s="73" t="n"/>
      <c r="J1006" s="73" t="n"/>
      <c r="K1006" s="73" t="n"/>
      <c r="L1006" s="73" t="n"/>
      <c r="M1006" s="73" t="n"/>
      <c r="N1006" s="72" t="n"/>
      <c r="O1006" s="72" t="n"/>
      <c r="P1006" s="72" t="n"/>
      <c r="Q1006" s="72" t="n"/>
      <c r="R1006" s="72" t="n"/>
      <c r="S1006" s="72" t="n"/>
      <c r="T1006" s="72" t="n"/>
      <c r="U1006" s="72" t="n"/>
      <c r="V1006" s="72" t="n"/>
      <c r="W1006" s="72" t="n"/>
      <c r="X1006" s="72" t="n"/>
    </row>
    <row r="1007">
      <c r="A1007" s="71" t="n"/>
      <c r="B1007" s="46" t="n"/>
      <c r="C1007" s="46" t="n"/>
      <c r="D1007" s="46" t="n"/>
      <c r="E1007" s="46" t="n"/>
      <c r="F1007" s="46" t="n"/>
      <c r="G1007" s="46" t="n"/>
      <c r="H1007" s="46" t="n"/>
      <c r="I1007" s="46" t="n"/>
      <c r="J1007" s="46" t="n"/>
      <c r="K1007" s="46" t="n"/>
      <c r="L1007" s="46" t="n"/>
      <c r="M1007" s="46" t="n"/>
      <c r="N1007" s="71" t="n"/>
      <c r="O1007" s="71" t="n"/>
      <c r="P1007" s="71" t="n"/>
      <c r="Q1007" s="71" t="n"/>
      <c r="R1007" s="71" t="n"/>
      <c r="S1007" s="71" t="n"/>
      <c r="T1007" s="71" t="n"/>
      <c r="U1007" s="71" t="n"/>
      <c r="V1007" s="71" t="n"/>
      <c r="W1007" s="71" t="n"/>
      <c r="X1007" s="71" t="n"/>
    </row>
  </sheetData>
  <autoFilter ref="$A$1:$X$82">
    <filterColumn colId="8" hiddenButton="0" showButton="1">
      <filters blank="1"/>
    </filterColumn>
  </autoFilter>
  <conditionalFormatting sqref="E41">
    <cfRule type="cellIs" priority="1" operator="equal" dxfId="4">
      <formula>$D43</formula>
    </cfRule>
  </conditionalFormatting>
  <conditionalFormatting sqref="E36">
    <cfRule type="cellIs" priority="2" operator="equal" dxfId="4">
      <formula>$D34</formula>
    </cfRule>
  </conditionalFormatting>
  <conditionalFormatting sqref="E1:E16 E18:E26 E28:E35 E37:E40 E43:E45 E47:E1047">
    <cfRule type="cellIs" priority="3" operator="equal" dxfId="4">
      <formula>#REF!</formula>
    </cfRule>
  </conditionalFormatting>
  <dataValidations count="1">
    <dataValidation sqref="A2:A307" showDropDown="0" showInputMessage="0" showErrorMessage="0" allowBlank="1" type="list">
      <formula1>"resource,logistics,use,business,sale,service,reverse,recovery"</formula1>
    </dataValidation>
  </dataValidations>
  <hyperlinks>
    <hyperlink xmlns:r="http://schemas.openxmlformats.org/officeDocument/2006/relationships" ref="N63" r:id="rId1"/>
    <hyperlink xmlns:r="http://schemas.openxmlformats.org/officeDocument/2006/relationships" ref="N79" r:id="rId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X1051"/>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10.13" customWidth="1" style="76" min="1" max="1"/>
    <col width="5.63" customWidth="1" style="76" min="2" max="2"/>
    <col width="16" customWidth="1" style="76" min="3" max="3"/>
    <col width="22.38" customWidth="1" style="76" min="4" max="4"/>
    <col width="23.75" customWidth="1" style="76" min="5" max="5"/>
    <col width="31.38" customWidth="1" style="76" min="6" max="8"/>
    <col width="33.38" customWidth="1" style="76" min="9" max="9"/>
    <col width="22.75" customWidth="1" style="76" min="10" max="10"/>
    <col width="35.13" customWidth="1" style="76" min="11" max="11"/>
    <col width="24" customWidth="1" style="76" min="12" max="12"/>
    <col width="16.13" customWidth="1" style="76" min="13" max="13"/>
    <col width="23.63" customWidth="1" style="76" min="14" max="14"/>
    <col width="17.5" customWidth="1" style="76" min="15" max="15"/>
    <col width="17.75" customWidth="1" style="76" min="16" max="16"/>
    <col width="51" customWidth="1" style="76" min="17" max="17"/>
  </cols>
  <sheetData>
    <row r="1">
      <c r="A1" s="28" t="inlineStr">
        <is>
          <t>TYPE</t>
        </is>
      </c>
      <c r="B1" s="28" t="inlineStr">
        <is>
          <t>ID</t>
        </is>
      </c>
      <c r="C1" s="28" t="inlineStr">
        <is>
          <t>X1</t>
        </is>
      </c>
      <c r="D1" s="28" t="inlineStr">
        <is>
          <t>X2</t>
        </is>
      </c>
      <c r="E1" s="28" t="inlineStr">
        <is>
          <t>X3</t>
        </is>
      </c>
      <c r="F1" s="28" t="inlineStr">
        <is>
          <t>AUTHOR_ID</t>
        </is>
      </c>
      <c r="G1" s="28" t="inlineStr">
        <is>
          <t>SCIENTIFIC SATURATION</t>
        </is>
      </c>
      <c r="H1" s="28" t="inlineStr">
        <is>
          <t>HOW</t>
        </is>
      </c>
      <c r="I1" s="28" t="inlineStr">
        <is>
          <t>WHY</t>
        </is>
      </c>
      <c r="J1" s="28" t="inlineStr">
        <is>
          <t>USE</t>
        </is>
      </c>
      <c r="K1" s="28" t="inlineStr">
        <is>
          <t>CHARACTERISTICS</t>
        </is>
      </c>
      <c r="L1" s="28" t="inlineStr">
        <is>
          <t>QUESTIONS TO ANSWER</t>
        </is>
      </c>
      <c r="M1" s="28" t="inlineStr">
        <is>
          <t>CASE_STUDY_ID</t>
        </is>
      </c>
      <c r="N1" s="28" t="inlineStr">
        <is>
          <t>REFERENCES</t>
        </is>
      </c>
      <c r="O1" s="27" t="inlineStr">
        <is>
          <t>PRODUCT-TAGS</t>
        </is>
      </c>
      <c r="P1" s="28" t="inlineStr">
        <is>
          <t>CIRCULARITY_INDEX</t>
        </is>
      </c>
      <c r="Q1" s="28" t="inlineStr">
        <is>
          <t>DFX_RELATIONSHIP</t>
        </is>
      </c>
      <c r="R1" s="28" t="inlineStr">
        <is>
          <t>LOOP</t>
        </is>
      </c>
      <c r="S1" s="28" t="inlineStr">
        <is>
          <t>APPLIES_TO</t>
        </is>
      </c>
      <c r="T1" s="28" t="inlineStr">
        <is>
          <t>HIDDEN_USER</t>
        </is>
      </c>
      <c r="U1" s="28" t="inlineStr">
        <is>
          <t>HIDDEN_LAST_UPDATE</t>
        </is>
      </c>
      <c r="V1" s="28" t="n"/>
      <c r="W1" s="28" t="n"/>
      <c r="X1" s="28" t="n"/>
    </row>
    <row r="2" ht="75" customHeight="1" s="76">
      <c r="A2" s="73" t="inlineStr">
        <is>
          <t>service</t>
        </is>
      </c>
      <c r="B2" s="73" t="n">
        <v>72</v>
      </c>
      <c r="C2" s="73" t="inlineStr">
        <is>
          <t>Df Refurbishment</t>
        </is>
      </c>
      <c r="D2" s="73" t="inlineStr">
        <is>
          <t>Df Recovery</t>
        </is>
      </c>
      <c r="E2" s="73" t="inlineStr">
        <is>
          <t>Df Assessability</t>
        </is>
      </c>
      <c r="F2" s="73" t="n">
        <v>1</v>
      </c>
      <c r="G2" s="73" t="n"/>
      <c r="H2" s="73" t="inlineStr">
        <is>
          <t>Design for Assessability involves incorporating features that enable rapid and accurate evaluation of a returned product's condition. This includes integrating diagnostic ports, wear indicators, condition sensors, and standardised inspection access points. The product should be designed so that its functional state can be determined quickly — ideally through non-destructive methods — to decide the most appropriate refurbishment pathway. Digital product passports or embedded data logs that record usage history are increasingly used to support assessment decisions.</t>
        </is>
      </c>
      <c r="I2" s="72" t="inlineStr">
        <is>
          <t>Design for Assessability is a design strategy that focuses on ensuring that products are easily assessed in terms of their condition, potential for refurbishment, and value retention. By prioritizing this strategy in a refurbishment circular business model, companies can streamline the process of evaluating used products, identifying necessary repairs or upgrades, and determining the most cost-effective refurbishment options. This strategy is crucial for maximizing the efficiency and effectiveness of refurbishment operations, as it enables companies to quickly assess the feasibility of refurbishing a product and make informed decisions about the most appropriate refurbishment pathways. In practice, Design for Assessability may involve incorporating modular design elements, standardized assessment protocols, and predictive maintenance technologies to facilitate rapid and accurate product evaluations. This approach not only enhances the sustainability of refurbishment processes but also contributes to the overall viability of a circular business model by minimizing waste and maximizing the value extracted from used products.</t>
        </is>
      </c>
      <c r="J2" s="73" t="inlineStr">
        <is>
          <t>Assessability is critical for products entering a refurbishment pipeline where the condition varies widely — consumer electronics, medical devices, white goods, and automotive components. The designer should identify which components are most likely to degrade and ensure these can be inspected without full disassembly. Products with consistent assessment protocols can be sorted faster, reducing processing time and cost in refurbishment operations.</t>
        </is>
      </c>
      <c r="K2" s="73" t="inlineStr">
        <is>
          <t>Products designed for assessability feature: visible wear indicators or colour-change materials that show component condition; standardised diagnostic interfaces for electronic testing; accessible inspection points that do not require disassembly of unrelated components; embedded sensors or data logs that record operational history; and clear documentation of assessment criteria and pass/fail thresholds.</t>
        </is>
      </c>
      <c r="L2" s="73" t="inlineStr">
        <is>
          <t>• What are the key condition indicators that determine whether a product is suitable for refurbishment?
• Can the product's condition be assessed without full disassembly?
• Are there embedded sensors or data logs that can provide operational history to the refurbisher?
• What is the cost of assessment relative to the value recovered through refurbishment?
• Can the assessment process be standardised across product variants?</t>
        </is>
      </c>
      <c r="M2" s="73" t="n">
        <v>74</v>
      </c>
      <c r="N2" s="73" t="inlineStr">
        <is>
          <t>Nasr, N., Russell, J., Bringezu, S., Hellweg, S., Hilton, B., Kreiss, C., &amp; con Gries, N. (2018). Re-defining Value – The Manufacturing Revolution (UN Environment).</t>
        </is>
      </c>
      <c r="O2" s="73" t="n"/>
      <c r="P2" s="73" t="n">
        <v>1</v>
      </c>
      <c r="Q2" s="73" t="n"/>
      <c r="R2" s="73" t="inlineStr">
        <is>
          <t>LOOP N,LAST LOOP</t>
        </is>
      </c>
      <c r="S2" s="73" t="inlineStr">
        <is>
          <t>Components,Products</t>
        </is>
      </c>
      <c r="T2" s="73" t="n"/>
      <c r="U2" s="73" t="n"/>
      <c r="V2" s="73" t="n"/>
      <c r="W2" s="73" t="n"/>
      <c r="X2" s="73" t="n"/>
    </row>
    <row r="3" hidden="1" ht="75" customHeight="1" s="76">
      <c r="A3" s="46" t="inlineStr">
        <is>
          <t>reverse</t>
        </is>
      </c>
      <c r="B3" s="46" t="n">
        <v>87</v>
      </c>
      <c r="C3" s="46" t="inlineStr">
        <is>
          <t>Df Refurbishment</t>
        </is>
      </c>
      <c r="D3" s="46" t="inlineStr">
        <is>
          <t>Df Closed-loop Reverse Supply Chain</t>
        </is>
      </c>
      <c r="E3" s="46" t="inlineStr">
        <is>
          <t>Df Buy-back</t>
        </is>
      </c>
      <c r="F3" s="46" t="n">
        <v>1</v>
      </c>
      <c r="G3" s="46" t="n"/>
      <c r="H3" s="46" t="inlineStr">
        <is>
          <t>In a buy-back programme for refurbishment, the manufacturer or retailer offers customers an incentive to return used products rather than discarding them. The returned products are assessed, sorted by condition, and routed to the most appropriate refurbishment pathway. The designer should ensure products retain sufficient value after use to justify the buy-back cost, and that the product architecture supports efficient assessment and refurbishment of returned units.</t>
        </is>
      </c>
      <c r="I3" s="46" t="inlineStr">
        <is>
          <t>In this strategy, manufacturers or other suppliers "buy-back" used products and components from their customers. The ability to predict return flows depends on the manufacturer's ability to set specific purchase prices. Hence, the manufacturer should define in advance what will be the desired stream between the entire product, components or materials of the product. Manufacturers need to determine the required amounts, price, time and sites of return for every form of return flow.
- For service and production purposes, manufacturers can obtain an inexpensive supply of components and materials;
- Buying-back used products may be an opportunity to reengage a new relationship with the customer for sale or lease new products;
- Deposition and incineration costs may be minimized;
- Understand how products are used and design better products.</t>
        </is>
      </c>
      <c r="J3" s="46" t="inlineStr">
        <is>
          <t>Buy-back for refurbishment is particularly effective for consumer electronics, fashion items, furniture, and appliances where the resale market for refurbished goods is strong. The programme works best when customers have a natural upgrade cycle and the manufacturer can offer a compelling trade-in value. The designer should consider how product aesthetics, durability, and modularity affect the refurbishment economics.</t>
        </is>
      </c>
      <c r="K3" s="46" t="inlineStr">
        <is>
          <t>An effective buy-back system for refurbishment requires: clear grading criteria for returned products; efficient reverse logistics; pricing that incentivises returns while maintaining profitability; strong refurbishment capabilities to restore products to saleable condition; and customer trust in the quality of refurbished products.</t>
        </is>
      </c>
      <c r="L3" s="46" t="inlineStr">
        <is>
          <t>• Which purchase channel can facilitate the take-back?
• How the company can withdrawal products from castomers?
• How the company can coordinate with retailers and other distributors to collect products?
• For how many loops the product can be buy-back?</t>
        </is>
      </c>
      <c r="M3" s="46" t="n">
        <v>141</v>
      </c>
      <c r="N3" s="46" t="inlineStr">
        <is>
          <t>Guide, V. D. R., &amp; Van Wassenhove, L. N. (2009). The evolution of closed-loop supply chain research. Operations Research, 57(1), 10–18.
Östlin, J., Sundin, E., &amp; Björkman, M. (2008). Importance of closed-loop supply chain relationships for product remanufacturing. International Journal of Production Economics, 115(2), 336–348.</t>
        </is>
      </c>
      <c r="O3" s="46" t="inlineStr">
        <is>
          <t>services</t>
        </is>
      </c>
      <c r="P3" s="46" t="n"/>
      <c r="Q3" s="46" t="n"/>
      <c r="R3" s="46" t="inlineStr">
        <is>
          <t>LOOP 1,LOOP N</t>
        </is>
      </c>
      <c r="S3" s="46" t="inlineStr">
        <is>
          <t>Products,Processes,Systems</t>
        </is>
      </c>
      <c r="T3" s="46" t="n"/>
      <c r="U3" s="46" t="n"/>
      <c r="V3" s="46" t="n"/>
      <c r="W3" s="46" t="n"/>
      <c r="X3" s="46" t="n"/>
    </row>
    <row r="4" hidden="1" ht="75" customHeight="1" s="76">
      <c r="A4" s="73" t="inlineStr">
        <is>
          <t>use</t>
        </is>
      </c>
      <c r="B4" s="73" t="n">
        <v>153</v>
      </c>
      <c r="C4" s="73" t="inlineStr">
        <is>
          <t>Df Refurbishment</t>
        </is>
      </c>
      <c r="D4" s="73" t="inlineStr">
        <is>
          <t>Df Sustainable Behaviour</t>
        </is>
      </c>
      <c r="E4" s="73" t="inlineStr">
        <is>
          <t>Df Sustainable Behaviour</t>
        </is>
      </c>
      <c r="F4" s="73" t="n">
        <v>1</v>
      </c>
      <c r="G4" s="73" t="n"/>
      <c r="H4" s="73" t="inlineStr">
        <is>
          <t>Design for Sustainable Behaviour in a refurbishment context uses design interventions to influence how users interact with products during use, with the aim of extending product life and improving the condition of products when they enter the refurbishment pipeline. Strategies range from providing information and feedback (low intervention) to scripting and forcing functions (high intervention). The designer selects the appropriate level of intervention based on the user's motivation and the environmental significance of the behaviour.</t>
        </is>
      </c>
      <c r="I4" s="73" t="inlineStr">
        <is>
          <t>Sustainable behavior design in refurbishment contexts focuses on how products and systems can encourage users to engage in repair, maintenance, and responsible consumption practices throughout product lifecycles. Rather than relying solely on information or moral appeals, behavioral design embeds cues, feedback, and incentive structures directly into product experiences and service interactions. This approach recognizes that sustainability outcomes are driven not just by individual intentions but by the systemic affordances that make sustainable choices convenient, visible, and rewarding.
In refurbishment contexts, sustainable behavior design influences decisions around participation in repair services, engagement with refurbished products, and proper maintenance practices. Visible care instructions, satisfaction feedback from repaired products, loyalty incentives for repair engagement, and transparent communication about refurbishment processes all shape user participation. The framework connects to broader principles of service design and ecosystem thinking, where multiple touchpoints work together to establish circular practices as normalized behaviors.</t>
        </is>
      </c>
      <c r="J4" s="73" t="inlineStr">
        <is>
          <t>This strategy applies to any refurbishable product where user behaviour during use significantly affects the product's condition at end of first life. Examples include washing machines (overloading reduces lifespan), electronics (charging habits affect battery health), and furniture (maintenance habits affect structural integrity). The designer should identify which user behaviours most affect refurbishability and design interventions accordingly.</t>
        </is>
      </c>
      <c r="K4" s="73" t="inlineStr">
        <is>
          <t>Design for Sustainable Behaviour in refurbishment is characterised by: understanding the gap between intended and actual user behaviour; designing interventions at appropriate levels of user control; balancing user autonomy with environmental outcomes; measuring the effectiveness of interventions through feedback loops; and considering cultural and contextual factors that influence behaviour.</t>
        </is>
      </c>
      <c r="L4" s="73" t="inlineStr">
        <is>
          <t>• Which user behaviours during product use most affect the product's condition at end of life?
• What level of design intervention is appropriate — information, feedback, nudge, or forcing function?
• How will the behaviour change be measured and validated?
• Will the intervention be accepted by users or will it create frustration?
• Can the product communicate its condition to the user to encourage care?</t>
        </is>
      </c>
      <c r="M4" s="73" t="n">
        <v>147</v>
      </c>
      <c r="N4" s="73" t="inlineStr">
        <is>
          <t>Daae, Johannes, Lucy Chamberlin, and Casper Boks. 2018. “Dimensions of Behaviour Change in the Context of Designing for a Circular Economy.” The Design Journal 21 (4): 521–41.</t>
        </is>
      </c>
      <c r="O4" s="73" t="n"/>
      <c r="P4" s="73" t="n"/>
      <c r="Q4" s="73" t="n"/>
      <c r="R4" s="73" t="inlineStr">
        <is>
          <t>LOOP 1,LOOP N,LAST LOOP</t>
        </is>
      </c>
      <c r="S4" s="73" t="inlineStr">
        <is>
          <t>Products,Systems</t>
        </is>
      </c>
      <c r="T4" s="73" t="n"/>
      <c r="U4" s="73" t="n"/>
      <c r="V4" s="73" t="n"/>
      <c r="W4" s="73" t="n"/>
      <c r="X4" s="72" t="n"/>
    </row>
    <row r="5" hidden="1" ht="75" customHeight="1" s="76">
      <c r="A5" s="46" t="inlineStr">
        <is>
          <t>use</t>
        </is>
      </c>
      <c r="B5" s="46" t="n">
        <v>154</v>
      </c>
      <c r="C5" s="46" t="inlineStr">
        <is>
          <t>Df Refurbishment</t>
        </is>
      </c>
      <c r="D5" s="46" t="inlineStr">
        <is>
          <t>Df Sustainable Behaviour</t>
        </is>
      </c>
      <c r="E5" s="46" t="inlineStr">
        <is>
          <t>Df Eco-Feedback</t>
        </is>
      </c>
      <c r="F5" s="46" t="n">
        <v>1</v>
      </c>
      <c r="G5" s="46" t="n"/>
      <c r="H5" s="46" t="inlineStr">
        <is>
          <t>Eco-feedback in a refurbishment context involves designing products that communicate their environmental impact, usage patterns, or condition to users in real time. This can take the form of energy consumption displays, wear indicators, maintenance reminders, or sustainability dashboards. The feedback encourages users to adopt behaviours that extend product life and improve the product's condition when it enters the refurbishment pipeline.</t>
        </is>
      </c>
      <c r="I5" s="46" t="inlineStr">
        <is>
          <t>This strategy seeks to connect actions with environmental and social consequences by informing customers through the use of data in a suitable manner so it can lead to more responsible decisions. This strategy should enable the user to visualize or perceive somehow the consumption of resources (energy, water or materials) in order to reflect and change his or her behaviour. In order to boost this strategy designers can motivate consumers linking energy consumption with costs.</t>
        </is>
      </c>
      <c r="J5" s="46" t="inlineStr">
        <is>
          <t>Eco-feedback is particularly effective for energy-consuming products (appliances, heating systems, vehicles), water-using products, and any product where user behaviour directly affects resource consumption or component wear. Smart products with connectivity can deliver rich feedback through apps and interfaces. The designer should ensure feedback is actionable, timely, and presented in a way that motivates change rather than causing information overload.</t>
        </is>
      </c>
      <c r="K5" s="46" t="inlineStr">
        <is>
          <t>Effective eco-feedback design features: clear, real-time visualisation of resource consumption or product condition; comparative benchmarks (e.g. peer usage, optimal performance); positive reinforcement mechanisms (rewards, gamification); integration with the product's natural interaction points; and data collection that supports both user awareness and refurbishment planning.</t>
        </is>
      </c>
      <c r="L5" s="46" t="inlineStr">
        <is>
          <t>• What environmental or usage data is most meaningful to communicate to the user?
• How can feedback be delivered at the right moment to influence behaviour?
• Will comparative data (e.g. peer benchmarks) be more effective than absolute metrics?
• Can the eco-feedback system also collect data useful for future refurbishment assessment?
• How do we avoid "feedback fatigue" where users tune out the information?</t>
        </is>
      </c>
      <c r="M5" s="46" t="n">
        <v>154</v>
      </c>
      <c r="N5" s="46" t="inlineStr">
        <is>
          <t>Lilley, D. (2007). Designing for behavioural change: Reducing the social impacts of product use through design (Thesis, © Debra Lilley).
Lilley, D. 2009. “Design for Sustainable Behaviour: Strategies and Perceptions.” Design Studies 30 (6): 704–20.</t>
        </is>
      </c>
      <c r="O5" s="46" t="n"/>
      <c r="P5" s="46" t="n">
        <v>1</v>
      </c>
      <c r="Q5" s="46" t="n"/>
      <c r="R5" s="46" t="inlineStr">
        <is>
          <t>LOOP N,LAST LOOP</t>
        </is>
      </c>
      <c r="S5" s="46" t="inlineStr">
        <is>
          <t>Components,Products,Systems</t>
        </is>
      </c>
      <c r="T5" s="46" t="inlineStr">
        <is>
          <t>alessio.franconi87@gmail.com</t>
        </is>
      </c>
      <c r="U5" s="46" t="inlineStr">
        <is>
          <t>Tue Nov 24 2020 21:41:28 GMT+0000 (Ora del meridiano di Greenwich)</t>
        </is>
      </c>
      <c r="V5" s="46" t="n"/>
      <c r="W5" s="46" t="n"/>
      <c r="X5" s="71" t="n"/>
    </row>
    <row r="6" hidden="1" ht="75" customHeight="1" s="76">
      <c r="A6" s="73" t="inlineStr">
        <is>
          <t>use</t>
        </is>
      </c>
      <c r="B6" s="73" t="n">
        <v>155</v>
      </c>
      <c r="C6" s="73" t="inlineStr">
        <is>
          <t>Df Refurbishment</t>
        </is>
      </c>
      <c r="D6" s="73" t="inlineStr">
        <is>
          <t>Df Sustainable Behaviour</t>
        </is>
      </c>
      <c r="E6" s="73" t="inlineStr">
        <is>
          <t>Df Persuasive Technology</t>
        </is>
      </c>
      <c r="F6" s="73" t="n">
        <v>1</v>
      </c>
      <c r="G6" s="73" t="n"/>
      <c r="H6" s="73" t="inlineStr">
        <is>
          <t>Persuasive technology in a refurbishment context uses interactive technology to change user attitudes or behaviours toward product care and sustainable use. This includes smart notifications, gamification elements, social comparison features, and adaptive interfaces that make sustainable choices the path of least resistance. The technology acts as an intermediary between the designer's intent and the user's actions, subtly guiding behaviour without removing user agency.</t>
        </is>
      </c>
      <c r="I6" s="73" t="inlineStr">
        <is>
          <t>This strategy seeks to motivating and influencing users through the use of technology by making a desired outcome easier to achieve. Design for Persuasive Technology strategy can exploit and use personal information to provide third party access to information, e.g., a parent, boss or partner who may intervene to punish or recompense behavior.
There are seven types of persuasive technology strategies:
• Reduction (simplification of a procedure);
• Tunnelling (guidance through a procedure, such as a ‘wizard’); 
• Tailoring (individual customisation);
• Suggestion (intervention at the most opportune moment, or kairos);
• Selfmonitoring (allowing users to track their own behaviour);
• Surveillance (allowing others to track users’ behaviour);
• Conditioning (reinforcement).</t>
        </is>
      </c>
      <c r="J6" s="73" t="inlineStr">
        <is>
          <t>Persuasive technology is applicable to connected or smart products where the technology platform can deliver contextual interventions — smart home devices, connected appliances, wearables, and app-controlled products. The designer should identify the specific behaviour to influence, choose the appropriate persuasion strategy (reduction, tunnelling, suggestion, self-monitoring, surveillance, conditioning, or social influence), and design the technology to deliver it effectively.</t>
        </is>
      </c>
      <c r="K6" s="73" t="inlineStr">
        <is>
          <t>Persuasive technology for refurbishment is characterised by: use of Fogg's behaviour model (motivation, ability, trigger); contextual delivery of interventions at the moment of decision; adaptive algorithms that learn user preferences and adjust interventions; non-coercive influence that respects user autonomy; and measurable outcomes linked to product longevity or condition at end of use.</t>
        </is>
      </c>
      <c r="L6" s="73" t="inlineStr">
        <is>
          <t>• Which user behaviours can be influenced through technology-mediated interventions?
• What persuasion strategy is most appropriate for our user context — reduction, tunnelling, suggestion, or social influence?
• How will the persuasive system adapt to individual user responses over time?
• Is the persuasive technology ethically transparent — do users understand they are being influenced?
• Can the persuasive system also gather condition data useful for refurbishment planning?</t>
        </is>
      </c>
      <c r="M6" s="73" t="n">
        <v>113</v>
      </c>
      <c r="N6" s="73" t="inlineStr">
        <is>
          <t>Fogg, B J (2003) Persuasive technology; using computers to change what we think
and do Morgan Kaufmann, San Francisco
Lockton, Dan, David Harrison, and Neville Stanton. 2008. “Making the User More Efficient: Design for Sustainable Behaviour.” International Journal of Sustainable Engineering 1 (1): 3–8.
Lilley, D. 2009. “Design for Sustainable Behaviour: Strategies and Perceptions.” Design Studies 30 (6): 704–20.</t>
        </is>
      </c>
      <c r="O6" s="73" t="n"/>
      <c r="P6" s="73" t="n"/>
      <c r="Q6" s="73" t="n"/>
      <c r="R6" s="73" t="inlineStr">
        <is>
          <t>LOOP 1,LOOP N</t>
        </is>
      </c>
      <c r="S6" s="73" t="inlineStr">
        <is>
          <t>Products,Systems</t>
        </is>
      </c>
      <c r="T6" s="73" t="n"/>
      <c r="U6" s="73" t="n"/>
      <c r="V6" s="73" t="n"/>
      <c r="W6" s="73" t="n"/>
      <c r="X6" s="72" t="n"/>
    </row>
    <row r="7" hidden="1" ht="75" customHeight="1" s="76">
      <c r="A7" s="46" t="inlineStr">
        <is>
          <t>use</t>
        </is>
      </c>
      <c r="B7" s="46" t="n"/>
      <c r="C7" s="46" t="inlineStr">
        <is>
          <t>Df Refurbishment</t>
        </is>
      </c>
      <c r="D7" s="46" t="inlineStr">
        <is>
          <t>Df Sustainable Behaviour</t>
        </is>
      </c>
      <c r="E7" s="46" t="inlineStr">
        <is>
          <t>Df Affordances</t>
        </is>
      </c>
      <c r="F7" s="46" t="n">
        <v>1</v>
      </c>
      <c r="G7" s="46" t="n"/>
      <c r="H7" s="46" t="n"/>
      <c r="I7" s="46" t="inlineStr">
        <is>
          <t>This strategy article is planned to be completed. You can help Circular Design by expanding it using Contribute button in the Home page.</t>
        </is>
      </c>
      <c r="J7" s="46" t="n"/>
      <c r="K7" s="46" t="n"/>
      <c r="L7" s="46" t="n"/>
      <c r="M7" s="46" t="n"/>
      <c r="N7" s="46" t="inlineStr">
        <is>
          <t>Lockton, Dan, David Harrison, and Neville Stanton. 2008. “Making the User More Efficient: Design for Sustainable Behaviour.” International Journal of Sustainable Engineering 1 (1): 3–8.</t>
        </is>
      </c>
      <c r="O7" s="46" t="n"/>
      <c r="P7" s="46" t="n"/>
      <c r="Q7" s="46" t="n"/>
      <c r="R7" s="46" t="n"/>
      <c r="S7" s="46" t="n"/>
      <c r="T7" s="46" t="n"/>
      <c r="U7" s="46" t="n"/>
      <c r="V7" s="46" t="n"/>
      <c r="W7" s="46" t="n"/>
      <c r="X7" s="71" t="n"/>
    </row>
    <row r="8" hidden="1" ht="75" customHeight="1" s="76">
      <c r="A8" s="73" t="inlineStr">
        <is>
          <t>use</t>
        </is>
      </c>
      <c r="B8" s="73" t="n">
        <v>158</v>
      </c>
      <c r="C8" s="73" t="inlineStr">
        <is>
          <t>Df Refurbishment</t>
        </is>
      </c>
      <c r="D8" s="73" t="inlineStr">
        <is>
          <t>Df Sustainable Behaviour</t>
        </is>
      </c>
      <c r="E8" s="73" t="inlineStr">
        <is>
          <t>Df Persuasion</t>
        </is>
      </c>
      <c r="F8" s="73" t="n">
        <v>1</v>
      </c>
      <c r="G8" s="73" t="inlineStr">
        <is>
          <t>high</t>
        </is>
      </c>
      <c r="H8" s="73" t="inlineStr">
        <is>
          <t>Design for Persuasion uses physical and interface-level design features to prevent incorrect or damaging use of products. This includes forcing functions that block harmful actions, interlocks that require correct sequences, and affordances that make proper use intuitive. In a refurbishment context, persuasion design protects product integrity during use, ensuring products arrive at the refurbishment facility in better condition.</t>
        </is>
      </c>
      <c r="I8" s="73" t="inlineStr">
        <is>
          <t>This strategy is used to alert the user in order to prevent an incorrect or incomplete operation from continuing. For example, if the door of the fridge is left open, the fridge will alert the user with an audible or visual warning.</t>
        </is>
      </c>
      <c r="J8" s="73" t="inlineStr">
        <is>
          <t>Persuasion design is relevant for products where incorrect use can cause significant damage — industrial equipment with safety-critical operating procedures, consumer products with non-obvious maintenance requirements, or products where misuse accelerates wear. The designer should identify the most common misuse scenarios and design physical or digital constraints that prevent them without frustrating legitimate use.</t>
        </is>
      </c>
      <c r="K8" s="73" t="inlineStr">
        <is>
          <t>Persuasion design features include: forcing functions that prevent incorrect operations (e.g. a dishwasher that won't start with the door ajar); interlocks that enforce correct sequences; affordances that make proper use the most natural action; warning systems that alert users before damage occurs; and physical designs that make misuse mechanically difficult.</t>
        </is>
      </c>
      <c r="L8" s="73" t="inlineStr">
        <is>
          <t>• What are the most common misuse scenarios that reduce the product's refurbishability?
• Can forcing functions be designed to prevent these without frustrating normal use?
• Are there physical affordances that can make correct use the most intuitive option?
• How will the persuasion mechanism degrade over multiple lifecycles — will it still function after refurbishment?
• Can the system log instances of attempted misuse to inform refurbishment assessment?</t>
        </is>
      </c>
      <c r="M8" s="73" t="n">
        <v>141</v>
      </c>
      <c r="N8" s="73" t="inlineStr">
        <is>
          <t>Lockton, D., Harrison, D., &amp; Stanton, N. (2008). Making the user more efficient: design for sustainable behaviour. International Journal of Sustainable Engineering, 1(1), 3–8.</t>
        </is>
      </c>
      <c r="O8" s="73" t="n"/>
      <c r="P8" s="73" t="n"/>
      <c r="Q8" s="73" t="n"/>
      <c r="R8" s="73" t="inlineStr">
        <is>
          <t>LOOP 1</t>
        </is>
      </c>
      <c r="S8" s="73" t="inlineStr">
        <is>
          <t>Products,Systems</t>
        </is>
      </c>
      <c r="T8" s="73" t="inlineStr">
        <is>
          <t>alessio.franconi87@gmail.com</t>
        </is>
      </c>
      <c r="U8" s="73" t="inlineStr">
        <is>
          <t>Wed Nov 25 2020 10:21:46 GMT+0000 (Ora del meridiano di Greenwich)</t>
        </is>
      </c>
      <c r="V8" s="73" t="n"/>
      <c r="W8" s="73" t="n"/>
      <c r="X8" s="72" t="n"/>
    </row>
    <row r="9" hidden="1" ht="75" customHeight="1" s="76">
      <c r="A9" s="46" t="inlineStr">
        <is>
          <t>use</t>
        </is>
      </c>
      <c r="B9" s="46" t="n">
        <v>152</v>
      </c>
      <c r="C9" s="46" t="inlineStr">
        <is>
          <t>Df Refurbishment</t>
        </is>
      </c>
      <c r="D9" s="46" t="inlineStr">
        <is>
          <t>Df Sustainable Behaviour</t>
        </is>
      </c>
      <c r="E9" s="46" t="inlineStr">
        <is>
          <t>Df Behaviour Steering</t>
        </is>
      </c>
      <c r="F9" s="46" t="n">
        <v>1</v>
      </c>
      <c r="G9" s="46" t="n"/>
      <c r="H9" s="46" t="inlineStr">
        <is>
          <t>Behaviour steering designs products with embedded scripts and rules that guide users toward correct and sustainable use patterns. This goes beyond information provision — the product actively channels behaviour through its form, interface, and operational logic. In a refurbishment context, behaviour steering ensures products are used within their design parameters, preserving their condition for future refurbishment cycles.</t>
        </is>
      </c>
      <c r="I9" s="46" t="inlineStr">
        <is>
          <t>Behaviour steering in refurbishment design refers to the intentional use of structural, informational, and contextual elements that guide users toward sustainable choices without restricting freedom. Unlike mandates or prohibitions, steering approaches make preferred actions easier, more visible, and more socially valued while maintaining user agency. In refurbishment contexts, this might involve designing friction into disposal pathways while streamlining repair and resale options, providing transparent information about product longevity and refurbishment quality, or establishing social norms around product care and reuse.
Effective behavior steering requires understanding user motivations and decision-making contexts. Price signals, default options, convenience of access, and social proof all play roles in shaping whether consumers engage with refurbished products or repair services. Digital platforms can make refurbishment options prominent and convenient, while design language can communicate reliability and quality. This approach to circular business models recognizes that sustainable systems are built through many small design decisions that collectively reshape consumption patterns rather than relying on individual environmental consciousness alone.</t>
        </is>
      </c>
      <c r="J9" s="46" t="inlineStr">
        <is>
          <t>Behaviour steering is applicable to products with defined operational parameters where deviation reduces lifespan — washing machines (temperature and load settings), power tools (speed and torque limits), vehicles (driving habits that affect component wear). The designer should map the behavioural scripts that protect product integrity and embed these into the product's physical design and user interface.</t>
        </is>
      </c>
      <c r="K9" s="46" t="inlineStr">
        <is>
          <t>Products with behaviour steering feature: interface designs that default to the most sustainable operating mode; physical constraints that prevent operation outside safe parameters; progressive disclosure of advanced functions to prevent accidental misuse; feedback loops that reinforce correct behaviour; and designs that make sustainable use the easiest and most satisfying option.</t>
        </is>
      </c>
      <c r="L9" s="46" t="inlineStr">
        <is>
          <t>• What operational behaviours most affect the product's condition and lifespan?
• Can default settings be configured to optimise for longevity?
• How do we balance behaviour steering with user autonomy and satisfaction?
• Will the steering mechanisms survive multiple refurbishment cycles?
• Can the product record whether it has been used within or outside its intended parameters?</t>
        </is>
      </c>
      <c r="M9" s="46" t="n">
        <v>157</v>
      </c>
      <c r="N9" s="46" t="inlineStr">
        <is>
          <t>Lilley, D. (2007). Designing for behavioural change: Reducing the social impacts of product use through design (Thesis, © Debra Lilley).
Lilley, D. 2009. “Design for Sustainable Behaviour: Strategies and Perceptions.” Design Studies 30 (6): 704–20.</t>
        </is>
      </c>
      <c r="O9" s="46" t="n"/>
      <c r="P9" s="46" t="n">
        <v>1</v>
      </c>
      <c r="Q9" s="46" t="n"/>
      <c r="R9" s="46" t="inlineStr">
        <is>
          <t>LOOP 1,LOOP N,LAST LOOP</t>
        </is>
      </c>
      <c r="S9" s="46" t="inlineStr">
        <is>
          <t>Components,Products,Systems</t>
        </is>
      </c>
      <c r="T9" s="46" t="inlineStr">
        <is>
          <t>alessio.franconi87@gmail.com</t>
        </is>
      </c>
      <c r="U9" s="46" t="inlineStr">
        <is>
          <t>Tue Nov 24 2020 21:37:08 GMT+0000 (Ora del meridiano di Greenwich)</t>
        </is>
      </c>
      <c r="V9" s="46" t="n"/>
      <c r="W9" s="46" t="n"/>
      <c r="X9" s="71" t="n"/>
    </row>
    <row r="10" hidden="1" ht="75" customHeight="1" s="76">
      <c r="A10" s="73" t="inlineStr">
        <is>
          <t>use</t>
        </is>
      </c>
      <c r="B10" s="73" t="n">
        <v>151</v>
      </c>
      <c r="C10" s="73" t="inlineStr">
        <is>
          <t>Df Refurbishment</t>
        </is>
      </c>
      <c r="D10" s="73" t="inlineStr">
        <is>
          <t>Df Behavioural Change</t>
        </is>
      </c>
      <c r="E10" s="73" t="inlineStr">
        <is>
          <t>Df Behavioural Change</t>
        </is>
      </c>
      <c r="F10" s="73" t="n">
        <v>1</v>
      </c>
      <c r="G10" s="73" t="n"/>
      <c r="H10" s="73" t="inlineStr">
        <is>
          <t>The designer can employ multiple intervention levels: providing information about environmental impact and product value retention; enabling sustainable behaviour through intuitive maintenance features; encouraging behaviour through rewards and social comparison; guiding behaviour through defaults and nudges; or ensuring behaviour through forcing functions. The appropriate level depends on the target behaviour's environmental significance and the user's existing motivation.</t>
        </is>
      </c>
      <c r="I10" s="73" t="inlineStr">
        <is>
          <t>Design for Behavioural Change in a refurbishment context aims to shift user attitudes and habits toward product care, maintenance, and responsible end-of-life return. Unlike behaviour steering, which constrains specific actions, behavioural change targets deeper attitudinal shifts — encouraging users to view products as long-term investments worth maintaining rather than disposable commodities. This strategy is critical because the condition of returned products directly determines refurbishment feasibility and cost.</t>
        </is>
      </c>
      <c r="J10" s="73" t="inlineStr">
        <is>
          <t>Behavioural change design is relevant for any product where user engagement during the use phase determines refurbishment outcomes. It is particularly important for fast-moving consumer goods with high disposal rates, fashion items where perceived obsolescence drives premature replacement, and electronics where software updates and battery management habits affect product longevity.</t>
        </is>
      </c>
      <c r="K10" s="73" t="inlineStr">
        <is>
          <t>Effective behavioural change design: addresses both capability, opportunity, and motivation barriers; uses multiple touchpoints across the user journey; measures behavioural outcomes rather than just attitudes; adapts to different user segments and contexts; and connects individual behaviour to tangible environmental outcomes.</t>
        </is>
      </c>
      <c r="L10" s="73" t="inlineStr">
        <is>
          <t>• What is the current gap between actual user behaviour and the behaviour needed for optimal refurbishment outcomes?
• Which intervention level is appropriate for our user segment — information, nudge, or constraint?
• How can we measure whether behavioural change has actually occurred?
• What barriers (capability, opportunity, motivation) prevent users from adopting sustainable behaviours?
• Can the product itself serve as a medium for behavioural change communication?</t>
        </is>
      </c>
      <c r="M10" s="73" t="n">
        <v>149</v>
      </c>
      <c r="N10" s="73" t="inlineStr">
        <is>
          <t>Lilley, D. (2009). Design for sustainable behaviour: Strategies and perceptions. Design Studies, 30(6), 704–720.
Boks, C. (2012). Design for Sustainable Behaviour Research Challenges. Proceedings of EcoDesign 2011 International Symposium.
Daae, J., Chamberlin, L., &amp; Boks, C. (2018). Dimensions of Behaviour Change in the Context of Designing for a Circular Economy. The Design Journal, 21(4), 521–541.</t>
        </is>
      </c>
      <c r="O10" s="73" t="n"/>
      <c r="P10" s="73" t="n">
        <v>1</v>
      </c>
      <c r="Q10" s="73" t="n"/>
      <c r="R10" s="73" t="inlineStr">
        <is>
          <t>LOOP 1,LOOP N,LAST LOOP</t>
        </is>
      </c>
      <c r="S10" s="73" t="inlineStr">
        <is>
          <t>Components,Products,Systems</t>
        </is>
      </c>
      <c r="T10" s="73" t="inlineStr">
        <is>
          <t>alessio.franconi87@gmail.com</t>
        </is>
      </c>
      <c r="U10" s="73" t="inlineStr">
        <is>
          <t>Tue Nov 24 2020 21:12:03 GMT+0000 (Ora del meridiano di Greenwich)</t>
        </is>
      </c>
      <c r="V10" s="73" t="n"/>
      <c r="W10" s="73" t="n"/>
      <c r="X10" s="72" t="n"/>
    </row>
    <row r="11" hidden="1" ht="75" customHeight="1" s="76">
      <c r="A11" s="46" t="inlineStr">
        <is>
          <t>use</t>
        </is>
      </c>
      <c r="B11" s="46" t="n">
        <v>156</v>
      </c>
      <c r="C11" s="46" t="inlineStr">
        <is>
          <t>Df Refurbishment</t>
        </is>
      </c>
      <c r="D11" s="46" t="inlineStr">
        <is>
          <t>Df Behavioural Change</t>
        </is>
      </c>
      <c r="E11" s="46" t="inlineStr">
        <is>
          <t>Df Material Degradation Acceptance</t>
        </is>
      </c>
      <c r="F11" s="46" t="n">
        <v>1</v>
      </c>
      <c r="G11" s="46" t="n"/>
      <c r="H11" s="46" t="inlineStr">
        <is>
          <t>The designer selects materials that degrade predictably and attractively — leather that develops a patina, wood that gains character, metals that oxidise beautifully, or textiles that soften with washing. The degradation pattern should be designed to be consistent and aesthetically coherent rather than random or ugly. Communication strategies (branding, packaging, in-product messaging) should frame material ageing as intentional and desirable.</t>
        </is>
      </c>
      <c r="I11" s="46" t="inlineStr">
        <is>
          <t>Design for Material Degradation Acceptance encourages users to perceive the natural ageing and wear of materials as a positive quality rather than a defect. In a refurbishment context, this strategy reduces premature product replacement driven by cosmetic deterioration, keeping products in use longer and improving the volume and quality of returns entering the refurbishment pipeline. Materials that age gracefully — developing a patina, softening with use, or showing wear patterns that tell a story — can shift user perception from "worn out" to "well-loved".</t>
        </is>
      </c>
      <c r="J11" s="46" t="inlineStr">
        <is>
          <t>This strategy is particularly relevant for products in fashion, furniture, accessories, and premium consumer goods where cosmetic appearance heavily influences replacement decisions. It is also applicable to architectural products and interior finishes. The designer should evaluate which materials in the product are most visible to the user and most susceptible to cosmetic deterioration, and select alternatives that age gracefully.</t>
        </is>
      </c>
      <c r="K11" s="46" t="inlineStr">
        <is>
          <t>Products designed for material degradation acceptance feature: materials chosen for their attractive ageing properties; consistent and predictable degradation patterns; communication strategies that frame wear as desirable; design language that celebrates material honesty; and material choices that maintain structural integrity even as appearance evolves.</t>
        </is>
      </c>
      <c r="L11" s="46" t="inlineStr">
        <is>
          <t>• Which materials in our product are most susceptible to cosmetic degradation that triggers replacement?
• Can these materials be substituted with alternatives that age more gracefully?
• How can branding and communication position material ageing as a positive quality?
• Does material degradation affect structural performance or only appearance?
• Can visible repair or refurbishment marks be designed to add character rather than detract from value?</t>
        </is>
      </c>
      <c r="M11" s="46" t="n">
        <v>144</v>
      </c>
      <c r="N11" s="46" t="inlineStr">
        <is>
          <t>Chapman, J. (2005). Emotionally Durable Design: Objects, Experiences and Empathy. Earthscan.
Flether, K. (2012). Durability, Fashion, Sustainability: The Processes and Practices of Use. Fashion Practice, 4(2), 221–238.
van Nes, N., &amp; Cramer, J. (2005). Influencing product lifetime through product design. Business Strategy and the Environment, 14(5), 286–299.</t>
        </is>
      </c>
      <c r="O11" s="46" t="n"/>
      <c r="P11" s="46" t="n"/>
      <c r="Q11" s="46" t="n"/>
      <c r="R11" s="46" t="inlineStr">
        <is>
          <t>LOOP 1,LOOP N</t>
        </is>
      </c>
      <c r="S11" s="46" t="inlineStr">
        <is>
          <t>Materials,Components,Products</t>
        </is>
      </c>
      <c r="T11" s="46" t="n"/>
      <c r="U11" s="46" t="n"/>
      <c r="V11" s="46" t="n"/>
      <c r="W11" s="46" t="n"/>
      <c r="X11" s="71" t="n"/>
    </row>
    <row r="12" hidden="1" ht="75" customHeight="1" s="76">
      <c r="A12" s="73" t="inlineStr">
        <is>
          <t>recovery</t>
        </is>
      </c>
      <c r="B12" s="73" t="n">
        <v>96</v>
      </c>
      <c r="C12" s="73" t="inlineStr">
        <is>
          <t>Df Refurbishment</t>
        </is>
      </c>
      <c r="D12" s="73" t="inlineStr">
        <is>
          <t>Df Refurbishment</t>
        </is>
      </c>
      <c r="E12" s="73" t="inlineStr">
        <is>
          <t>Df Refurbishment</t>
        </is>
      </c>
      <c r="F12" s="73" t="n">
        <v>1</v>
      </c>
      <c r="G12" s="73" t="n"/>
      <c r="H12" s="73" t="inlineStr">
        <is>
          <t>Design for Refurbishment involves structuring products so that they can be efficiently restored to functional condition through inspection, cleaning, component replacement, and cosmetic restoration. The designer should prioritise ease of access to wear components, use materials that can be effectively cleaned and restored, and create product architectures where cosmetic and functional elements can be independently addressed. The refurbishment process should be simpler and less resource-intensive than manufacturing new.</t>
        </is>
      </c>
      <c r="I12" s="73" t="inlineStr">
        <is>
          <t>Design for Df Refurbishing is an industrial process where items are inspected and repaired to "functional condition". Through a variety of industrial processes, only to those parts of the product that have failed or are badly worn of are disassembled and then reassembled with both used or new parts.  
The product should be adequately designed accordingly with the geographical area, workforce knowledge and refurbishment capacity where it is going to be refurbished. The refurbished product should meet applicable technical standards or regulatory requirements to be used for the purposed that was originally intended. In Design for Refurbishment, Design for Disassembly strategy plays a key role and it is related mainly with cost and time of disassembly and reassembly of the product.   
Company and retailers often use terms "refurbished" and "remanufactured" interchangeably, although that is not correct. The key difference is that with a refurbished product, unlike a remanufactured product, the manufacturer does not provide a product warranty because it is not restored to "like-new condition".</t>
        </is>
      </c>
      <c r="J12" s="73" t="inlineStr">
        <is>
          <t>Many different typologies of products are suitable to be refurbished, such for instance white goods, small appliances, electronics, furniture and many more. Design teams must first determinate the refurbishment costs, that should be maintained low to remain competitive with new products.</t>
        </is>
      </c>
      <c r="K12" s="73" t="inlineStr">
        <is>
          <t>Products designed for refurbishment feature: clear separation between cosmetic and functional components; surfaces and materials that can be effectively cleaned, polished, or refinished; modular construction enabling selective component replacement; standardised wear parts that are readily available; and documented refurbishment procedures that can be performed by trained technicians without specialist equipment.</t>
        </is>
      </c>
      <c r="L12" s="73" t="inlineStr">
        <is>
          <t>How can we systematically invent, design, and implement a new business model around refurbishment?
Are our most important customers willing to use a refurbished product? If not, how can we make them change their mind?
How this new strategy can be integrated with the rest of our business model?</t>
        </is>
      </c>
      <c r="M12" s="73" t="n">
        <v>146</v>
      </c>
      <c r="N12" s="73" t="inlineStr">
        <is>
          <t>Nasr, N., Russell, J., Bringezu, S., Hellweg, S., Hilton, B., Kreiss, C., &amp; con Gries, N. (2018). Re-defining Value – The Manufacturing Revolution (UN Environment). UN Environment. http://www.resourcepanel.org/reports/re-defining-value-manufacturing-revolution</t>
        </is>
      </c>
      <c r="O12" s="73" t="n"/>
      <c r="P12" s="73" t="n"/>
      <c r="Q12" s="73" t="n"/>
      <c r="R12" s="73" t="inlineStr">
        <is>
          <t>LOOP 1,LOOP N,LAST LOOP</t>
        </is>
      </c>
      <c r="S12" s="73" t="inlineStr">
        <is>
          <t>Components,Products</t>
        </is>
      </c>
      <c r="T12" s="73" t="n"/>
      <c r="U12" s="73" t="n"/>
      <c r="V12" s="73" t="n"/>
      <c r="W12" s="73" t="n"/>
      <c r="X12" s="73" t="n"/>
    </row>
    <row r="13" hidden="1" ht="75" customHeight="1" s="76">
      <c r="A13" s="46" t="inlineStr">
        <is>
          <t>recovery</t>
        </is>
      </c>
      <c r="B13" s="46" t="n">
        <v>115</v>
      </c>
      <c r="C13" s="46" t="inlineStr">
        <is>
          <t>Df Refurbishment</t>
        </is>
      </c>
      <c r="D13" s="46" t="inlineStr">
        <is>
          <t>Df Non-Destructive Disassembly</t>
        </is>
      </c>
      <c r="E13" s="46" t="inlineStr">
        <is>
          <t>Df Non-Destructive Disassembly</t>
        </is>
      </c>
      <c r="F13" s="46" t="n">
        <v>1</v>
      </c>
      <c r="G13" s="46" t="n"/>
      <c r="H13" s="46" t="inlineStr">
        <is>
          <t>Df Non-Destructive Disassembly can have the following benefits:
- Facilitate maintenance and repair, thereby reducing costs;
- Facilitate part/component re-use, thereby recovering materials and reducing costs;
- Assist material recycling, thereby avoiding disposal and handling of waste;
- Assist product testing and failure-mode/end-of-life analysis;
- Facilitate product take-back and extended producer responsibility, thereby reducing liability and assisting in regulatory compliance.</t>
        </is>
      </c>
      <c r="I13" s="46" t="inlineStr">
        <is>
          <t>Design for  Non-Destructive Disassembly or Demanufacturing strategy gives a better chance to product to be disassembled into different elements for major remanufacturing quality. This strategy can be used for different reasons: as a maintenance activity (to swap one part for another one to be reused, clean, repaired, refurbished or resold component and materials), recycling operation or dispose of hazardous materials. In this strategy, the sequence of disassembling tasks and operations must be set up logically in order to facilitate and faster the disassembling process. Depending on product typology, the disassembling ca be performed using an automatic or human disassembling process. To facilitate the human disassembling process it is necessary to use basic hand tools to reduce labour costs.
Disassembling generates significant economic benefits for communities while reducing the need for new landfills, preventing pollution, saving energy, and reducing greenhouse gas emissions. The disassembling process employs low-, medium-, and highly-skilled workers in a variety of jobs—from handling and refining to delivering high-quality goods. Further, these jobs will often require high mobility as they are embodied in a global market.</t>
        </is>
      </c>
      <c r="J13" s="46" t="inlineStr">
        <is>
          <t>In general, designers should attempt to: 
- Use detachable joints such as snap, screw or bayonet instead of welded, glued or soldered connections;
- Use standardized joints so that the product can be dismantled with a few universal tools, e.g., one type and size of screws;
- Position joints so that the product does not need to be turned or moved for dismantling;
- Indicate on the product how it should be opened non-destructively, e.g., where and how to apply leverage with a screwdriver to open snap connections;
- Place parts that are likely to wear out at the same time in close proximity so they can be easily replaced simultaneously. 
- Indicate on the product which parts must be cleaned or maintained in a specific way, e.g., colour-coded lubricating points;
- Create an intuitively disassembling process;</t>
        </is>
      </c>
      <c r="K13" s="46" t="inlineStr">
        <is>
          <t>Non-destructive disassembly for refurbishment preserves all components in a reusable state. Key characteristics include: use of reversible fasteners (screws, clips, snap-fits) rather than permanent bonds; a defined disassembly sequence minimising time and tool changes; compatibility with both manual and automated processes; and the ability to repeatedly disassemble and reassemble without joint degradation.</t>
        </is>
      </c>
      <c r="L13" s="46" t="inlineStr">
        <is>
          <t>What are the parts that will wear quicker and become obsolete? Is the non-destructive disassembly feasible in terms of price and unit cost?
How does the Design for Non-Destructive Disassembly strategy changes the design of the product?
How does the Design for Non-Destructive Disassembly strategy changes the way products are developed?
What are the materials and design implications of the Design for Non-Destructive Disassembly strategy?
How cost minimisation or profit maximisation can be achieved in Design for Non-Destructive Disassembly?
What is the value of the disassembled part? There is a market for it? Can we reuse, refurbished, remanufactured or recycle it?
How disassembling sequencing should be organized?
When it suits to have an automatic or human disassembling process?</t>
        </is>
      </c>
      <c r="M13" s="46" t="n">
        <v>107</v>
      </c>
      <c r="N13" s="46" t="inlineStr">
        <is>
          <t>Rohatyński, R. (2016). Design for Disassembly. Introduction to a New Design Issue.
Torres, Fernando, and Santiago Puente. "Intelligent Disassembly in the Demanufacturing Process." The International Journal of Advanced Manufacturing Technology 30.5 (2006): 479-80
Information System Resources. Demanufacturing whitepaper (2011).</t>
        </is>
      </c>
      <c r="O13" s="46" t="n"/>
      <c r="P13" s="46" t="n"/>
      <c r="Q13" s="46" t="inlineStr">
        <is>
          <t>Df Modularization; Df Standardization; Df Recycling</t>
        </is>
      </c>
      <c r="R13" s="46" t="inlineStr">
        <is>
          <t>LOOP 1,LOOP N</t>
        </is>
      </c>
      <c r="S13" s="46" t="inlineStr">
        <is>
          <t>Components,Products</t>
        </is>
      </c>
      <c r="T13" s="46" t="n"/>
      <c r="U13" s="46" t="n"/>
      <c r="V13" s="46" t="n"/>
      <c r="W13" s="46" t="n"/>
      <c r="X13" s="71" t="n"/>
    </row>
    <row r="14" hidden="1" ht="75" customHeight="1" s="76">
      <c r="A14" s="73" t="inlineStr">
        <is>
          <t>recovery</t>
        </is>
      </c>
      <c r="B14" s="73" t="n">
        <v>116</v>
      </c>
      <c r="C14" s="73" t="inlineStr">
        <is>
          <t>Df Refurbishment</t>
        </is>
      </c>
      <c r="D14" s="73" t="inlineStr">
        <is>
          <t>Df Non-Destructive Disassembly</t>
        </is>
      </c>
      <c r="E14" s="73" t="inlineStr">
        <is>
          <t>Df Automated Disassembly</t>
        </is>
      </c>
      <c r="F14" s="73" t="n">
        <v>1</v>
      </c>
      <c r="G14" s="73" t="n"/>
      <c r="H14" s="73" t="inlineStr">
        <is>
          <t>Designers should attempt to: 
• Managing and processing a large quantity of information for a high success rate of disassembly. 
• Configuring a disassembly system as a modular system; 
• Analyse the disassembly requirements;
• Design and assess the performance of the functions needed;
• Create a disassembly domain;
• Determine the cognitive robotic functions;
• List the actions, fluents, precondition, effects required for each module;
• Program the behaviours using procedure due to complex actions; and
• Connect the modules together via actions and fluents.</t>
        </is>
      </c>
      <c r="I14" s="73" t="inlineStr">
        <is>
          <t>Design for Automated Disassembly is a key part of the Design for Disassembly strategy. Although most products can be disassembled by human labour, this may lead to high operational costs and time consumption. Developing automatic and systemic disassembly may overcome this obstacle and improve the economic feasibility of disassembly.  This strategy involves the use of robots equipped with artificial intelligence (AI) that are able to scan the physical condition of the product and disassembling it, even if the product is highly worn. Robots are also flexible and able to recognize the product typology and adapt their operations accordingly with it. This process requires a high level of mechanical and control system to be achieved,</t>
        </is>
      </c>
      <c r="J14" s="73" t="inlineStr">
        <is>
          <t>Automated disassembly for refurbishment is applicable to high-volume products where manual disassembly is cost-prohibitive — consumer electronics, small appliances, and automotive subassemblies. Products should have consistent geometries, standardised fasteners, and sensor-readable markers for robot guidance. The investment in automation is justified when the refurbishment volume is high and product consistency enables reliable robotic processing.</t>
        </is>
      </c>
      <c r="K14" s="73" t="inlineStr">
        <is>
          <t>Design for Automated Disassembly can have the following benefits:
• Reduction of the work needed in disassembly;
• Quick and easy disassembly operations;
• The system can improve the "disassembling" abilities and learning new instructions given by the human operator;
• The system can reduce the misclassification of main components, which is more frequent for humans when the components are damaged.</t>
        </is>
      </c>
      <c r="L14" s="73" t="inlineStr">
        <is>
          <t>Which parts are more likely to wear out faster?
Is our product suitable for an automatic disassembly?</t>
        </is>
      </c>
      <c r="M14" s="73" t="n">
        <v>109</v>
      </c>
      <c r="N14" s="73" t="inlineStr">
        <is>
          <t>Vongbunyong, S., &amp; Chen, W. H. (2016). Disassembly Automation: Automated Systems with Cognitive Abilities (Softcover reprint of the original 1st ed. 2015 edition). Springer.</t>
        </is>
      </c>
      <c r="O14" s="73" t="n"/>
      <c r="P14" s="73" t="n"/>
      <c r="Q14" s="73" t="n"/>
      <c r="R14" s="73" t="inlineStr">
        <is>
          <t>LOOP 1,LOOP N,LAST LOOP</t>
        </is>
      </c>
      <c r="S14" s="73" t="inlineStr">
        <is>
          <t>Components,Products</t>
        </is>
      </c>
      <c r="T14" s="73" t="n"/>
      <c r="U14" s="73" t="n"/>
      <c r="V14" s="73" t="n"/>
      <c r="W14" s="73" t="n"/>
      <c r="X14" s="72" t="n"/>
    </row>
    <row r="15" hidden="1" ht="75" customHeight="1" s="76">
      <c r="A15" s="46" t="inlineStr">
        <is>
          <t>recovery</t>
        </is>
      </c>
      <c r="B15" s="46" t="n">
        <v>117</v>
      </c>
      <c r="C15" s="46" t="inlineStr">
        <is>
          <t>Df Refurbishment</t>
        </is>
      </c>
      <c r="D15" s="46" t="inlineStr">
        <is>
          <t>Df Semi-Destructive Disassembly</t>
        </is>
      </c>
      <c r="E15" s="46" t="inlineStr">
        <is>
          <t>Df Semi-Destructive Disassembly</t>
        </is>
      </c>
      <c r="F15" s="46" t="n">
        <v>1</v>
      </c>
      <c r="G15" s="46" t="n"/>
      <c r="H15" s="46" t="inlineStr">
        <is>
          <t>In semi-destructive disassembly for refurbishment, only low-cost connective elements (rivets, clips, adhesive bonds) are destroyed during disassembly while all functional components are preserved intact. The designer concentrates all irreversible joints in sacrificial, low-cost connectors that are easily and cheaply replaced during reassembly.</t>
        </is>
      </c>
      <c r="I15" s="46" t="inlineStr">
        <is>
          <t>"Design fo Semi-Destructive Disassembly strategy aims to destroy only connective components, e.g. via breaking, folding or cutting, leaving main components with little or no damage. This increases the efficiency of the operation and has been found in many cases to be economically feasible. Many research works relating to automatic disassembly use semi-destructive techniques to overcome the uncertainties in the product condition and geometry. Examples of such techniques include the drilling out of screw heads during the disassembly of electric motors, creation of new surfaces allowing torque transmission for unscrewing and cutting off of screw heads using a cut-off wheel." (Vongbunyong, S., &amp; Chen, W. H. 2016).</t>
        </is>
      </c>
      <c r="J15" s="46" t="inlineStr">
        <is>
          <t>Semi-destructive disassembly is a practical approach when fully non-destructive disassembly is technically unfeasible or too costly. It is common in white goods, automotive body panels, and products requiring structural joints stronger than reversible fasteners can provide. The designer should limit permanent joints to sacrificial connectors and ensure no damage transfers to functional components.</t>
        </is>
      </c>
      <c r="K15" s="46" t="inlineStr">
        <is>
          <t>Products feature: clear distinction between sacrificial connectors and recoverable components; low-cost, readily available replacement connectors; joints that fail predictably along designated break lines; no damage transfer to adjacent parts during connector destruction; and documentation of destructive joints and replacement requirements.</t>
        </is>
      </c>
      <c r="L15" s="46" t="inlineStr">
        <is>
          <t>• Which joints must be permanent for safety or performance?
• Can destructive joints be limited to inexpensive, replaceable connectors?
• Will connector destruction cause any collateral damage to functional parts?
• What is the replacement connector cost relative to recovered component value?
• How many cycles can the product endure before functional components are affected?</t>
        </is>
      </c>
      <c r="M15" s="46" t="n">
        <v>111</v>
      </c>
      <c r="N15" s="46" t="inlineStr">
        <is>
          <t>Vongbunyong, S., &amp; Chen, W. H. (2016). Disassembly Automation: Automated Systems with Cognitive Abilities (Softcover reprint of the original 1st ed. 2015 edition). Springer.</t>
        </is>
      </c>
      <c r="O15" s="46" t="n"/>
      <c r="P15" s="46" t="n"/>
      <c r="Q15" s="46" t="n"/>
      <c r="R15" s="46" t="inlineStr">
        <is>
          <t>LOOP 1,LOOP N</t>
        </is>
      </c>
      <c r="S15" s="46" t="inlineStr">
        <is>
          <t>Components,Products</t>
        </is>
      </c>
      <c r="T15" s="46" t="n"/>
      <c r="U15" s="46" t="n"/>
      <c r="V15" s="46" t="n"/>
      <c r="W15" s="46" t="n"/>
      <c r="X15" s="71" t="n"/>
    </row>
    <row r="16" hidden="1" ht="75" customHeight="1" s="76">
      <c r="A16" s="73" t="inlineStr">
        <is>
          <t>recovery</t>
        </is>
      </c>
      <c r="B16" s="73" t="n">
        <v>118</v>
      </c>
      <c r="C16" s="73" t="inlineStr">
        <is>
          <t>Df Refurbishment</t>
        </is>
      </c>
      <c r="D16" s="73" t="inlineStr">
        <is>
          <t>Df Semi-Destructive Disassembly</t>
        </is>
      </c>
      <c r="E16" s="73" t="inlineStr">
        <is>
          <t>Df Embedded Disassembly Process</t>
        </is>
      </c>
      <c r="F16" s="73" t="n">
        <v>1</v>
      </c>
      <c r="G16" s="73" t="n"/>
      <c r="H16" s="73" t="inlineStr">
        <is>
          <t>The embedded disassembly process uses smart materials (shape memory alloys or polymers) integrated during manufacturing that activate under an external trigger — heat, electrical current, or chemicals — causing the product to separate along pre-designed lines. The designer must select trigger conditions achievable in a refurbishment facility but impossible during normal product use.</t>
        </is>
      </c>
      <c r="I16" s="73" t="inlineStr">
        <is>
          <t>Design for  Embedded Disassembly Process strategy integrates the disassembly process inside a product during manufacturing and activate it at disassembly. This design strategy creates products that are self-disassemblable and the process can be activated through a clear movement (for customer disassembly) or a mechanical movement (for industrial disassembly).
Designers should attempt to:
• identifying the essential part of currently used disassembly process and minimizing the mechanism for disassembly and then embedding them into the products;
• for multiple product lifecycles, it should be possible to reinsert the mechanism multiple times;
• If the product contains hazardous materials, the mechanism should be hidden to customers;  
Designers should attempt to:
• identifying the essential part of currently used disassembly process and minimizing the mechanism for disassembly and then embedding them into the products;
• for multiple product lifecycles, it should be possible to reinsert the mechanism multiple times;
• Calculation of the "removability" part;
Df Embedded Disassembly Process can have the following benefits:
• Disassembly can be obtained without special expensive equipment;</t>
        </is>
      </c>
      <c r="J16" s="73" t="inlineStr">
        <is>
          <t>Embedded disassembly is relevant for products that are difficult to disassemble manually — complex assemblies with many small fasteners, sealed housings, or products where internal component access without damage is essential for effective refurbishment. Particularly promising for consumer electronics and small appliances.</t>
        </is>
      </c>
      <c r="K16" s="73" t="inlineStr">
        <is>
          <t>A broad range of products can be implemented with the Design for  Embedded Disassembly strategy, as no particular devices, materials or actuators are needed for implementing them. However, the strategy may not be sufficient for items that require very little flexibility in the arrangement of components.</t>
        </is>
      </c>
      <c r="L16" s="73" t="inlineStr">
        <is>
          <t>• What trigger mechanism is most appropriate — heat, electrical, chemical, or mechanical?
• At what threshold should the embedded disassembly activate, safely above normal operating conditions?
• Can the mechanism be reset or replaced for reassembly after refurbishment?
• What is the cost of smart materials versus disassembly time savings?
• Are the embedded materials compatible with the product's operating environment?</t>
        </is>
      </c>
      <c r="M16" s="73" t="n">
        <v>72</v>
      </c>
      <c r="N16" s="73" t="inlineStr">
        <is>
          <t>Masui K, Mizuhara K, Ishii K, Rose C (1999) Development of products embedded disassembly process based on end-of-life strategies. In: Proceedings of the 1st international symposium on environmentally conscious design and inverse manufacturing, Tokyo, pp 570–575
Takeuchi, S., &amp; Saitou, K. (2008). Design for Product Embedded Disassembly. In T. Yu, L. Davis, C. Baydar, &amp; R. Roy (Eds.), Evolutionary Computation in Practice (pp. 9–39). Springer. https://doi.org/10.1007/978-3-540-75771-9_2</t>
        </is>
      </c>
      <c r="O16" s="73" t="n"/>
      <c r="P16" s="73" t="n"/>
      <c r="Q16" s="73" t="inlineStr">
        <is>
          <t>Design for Disassembly; Design for Destructive Disassembly; Design for Semi-Destructive Disassembly; Design for Non-Destructive Disassembly; Design for Ease of Disassembly; Design for Reassembly;</t>
        </is>
      </c>
      <c r="R16" s="73" t="inlineStr">
        <is>
          <t>LOOP 1,LOOP N</t>
        </is>
      </c>
      <c r="S16" s="73" t="inlineStr">
        <is>
          <t>Components,Products</t>
        </is>
      </c>
      <c r="T16" s="73" t="n"/>
      <c r="U16" s="73" t="n"/>
      <c r="V16" s="73" t="n"/>
      <c r="W16" s="73" t="n"/>
      <c r="X16" s="72" t="n"/>
    </row>
    <row r="17" hidden="1" ht="75" customHeight="1" s="76">
      <c r="A17" s="46" t="inlineStr">
        <is>
          <t>recovery</t>
        </is>
      </c>
      <c r="B17" s="46" t="n">
        <v>119</v>
      </c>
      <c r="C17" s="46" t="inlineStr">
        <is>
          <t>Df Refurbishment</t>
        </is>
      </c>
      <c r="D17" s="46" t="inlineStr">
        <is>
          <t>Df Semi-Destructive Disassembly</t>
        </is>
      </c>
      <c r="E17" s="46" t="inlineStr">
        <is>
          <t>Df Untying</t>
        </is>
      </c>
      <c r="F17" s="46" t="n">
        <v>1</v>
      </c>
      <c r="G17" s="46" t="n"/>
      <c r="H17" s="46" t="inlineStr">
        <is>
          <t>Design for Untying structures assemblies so that tied or bound components can be separated by cutting only the binding element — cable ties, wire wraps, lacing cords, or crimp connectors — without damaging the components themselves. Bindings should be visible, accessible, and made of materials that can be cleanly cut.</t>
        </is>
      </c>
      <c r="I17" s="46" t="inlineStr">
        <is>
          <t>Design for Untying strategy considered products which are made of modular or non-modular components tied together. The disassembly of the components occurs by breaking or untying the connections between components.</t>
        </is>
      </c>
      <c r="J17" s="46" t="inlineStr">
        <is>
          <t>Untying is relevant for products using cable harnesses, bundled wiring, tied tubing, or laced textile components. Common in automotive wiring looms, appliance cable assemblies, and server rack cabling. The designer should consider whether tied bundles can be replaced with quick-release connectors or modular plugs.</t>
        </is>
      </c>
      <c r="K17" s="46" t="inlineStr">
        <is>
          <t>Products feature: visible and accessible binding points; binding materials that cut cleanly; sufficient clearance for cutting tools; components undamaged by binding removal; and inexpensive replacement binding materials for reassembly.</t>
        </is>
      </c>
      <c r="L17" s="46" t="inlineStr">
        <is>
          <t>• Can permanent bindings be replaced with releasable alternatives?
• Are all binding points accessible without prior disassembly?
• Will cutting bindings cause unintended component displacement?
• What is the re-binding time and cost during reassembly?
• Can binding design be standardised across the product range?</t>
        </is>
      </c>
      <c r="M17" s="46" t="n">
        <v>73</v>
      </c>
      <c r="N17" s="46" t="inlineStr">
        <is>
          <t>Vongbunyong, S., &amp; Chen, W. H. (2016). Disassembly Automation: Automated Systems with Cognitive Abilities. Springer International Publishing.</t>
        </is>
      </c>
      <c r="O17" s="46" t="n"/>
      <c r="P17" s="46" t="n"/>
      <c r="Q17" s="46" t="n"/>
      <c r="R17" s="46" t="inlineStr">
        <is>
          <t>LOOP 1,LOOP N</t>
        </is>
      </c>
      <c r="S17" s="46" t="inlineStr">
        <is>
          <t>Components,Products</t>
        </is>
      </c>
      <c r="T17" s="46" t="n"/>
      <c r="U17" s="46" t="n"/>
      <c r="V17" s="46" t="n"/>
      <c r="W17" s="46" t="n"/>
      <c r="X17" s="71" t="n"/>
    </row>
    <row r="18" hidden="1" ht="75" customHeight="1" s="76">
      <c r="A18" s="73" t="inlineStr">
        <is>
          <t>recovery</t>
        </is>
      </c>
      <c r="B18" s="73" t="n">
        <v>120</v>
      </c>
      <c r="C18" s="73" t="inlineStr">
        <is>
          <t>Df Refurbishment</t>
        </is>
      </c>
      <c r="D18" s="73" t="inlineStr">
        <is>
          <t>Df Semi-Destructive Disassembly</t>
        </is>
      </c>
      <c r="E18" s="73" t="inlineStr">
        <is>
          <t>Df Active Disassembly</t>
        </is>
      </c>
      <c r="F18" s="73" t="n">
        <v>1</v>
      </c>
      <c r="G18" s="73" t="n"/>
      <c r="H18" s="73" t="inlineStr">
        <is>
          <t>Active disassembly uses shape memory alloys (SMAs) and shape memory polymers (SMPs) as functional fasteners activated by heat or electrical current. When triggered in a controlled environment, these smart fasteners simultaneously release connections, enabling rapid automated separation. SMAs activate at their austenite finish temperature; SMPs lose rigidity above their glass transition temperature.</t>
        </is>
      </c>
      <c r="I18" s="73" t="inlineStr">
        <is>
          <t>Design for Active Disassembly strategy uses smart materials or structure to activate product disassembly. Usually, a process of this is activated when the product is heated, microwaved or through variations in ambient pressure. This strategy is used to decrease the time needed for disassembling and implies the use of technology and smart materials. The amount of links that can be unmounted at the same time for one disassembly operation is unlimited. 
Designers should attempt to:
• Use compatible materials;
• Group harmful materials into subassemblies;
• Avoid ageing and corrosive material combination;
• Protect subassemblies against soiling and corrosion;
• Avoid metal inserts in plastic parts;
• Use standard subassemblies and parts;
• Minimize the number of fastener types; 
• Limitation to the number of different materials; 
• Standardize parts for multiple uses;
• Limit material variability;</t>
        </is>
      </c>
      <c r="J18" s="73" t="inlineStr">
        <is>
          <t>Active disassembly is most promising for high-volume consumer products where manual disassembly is uneconomical — phones, small appliances, IT peripherals. The activation temperature must be well above the product's operating range. Smart material elements must be compatible with manufacturing and refurbishment processes.</t>
        </is>
      </c>
      <c r="K18" s="73" t="inlineStr">
        <is>
          <t>Active disassembly features: simultaneous multi-point release through a single trigger; dramatically reduced disassembly time; consistent, repeatable outcomes; compatibility with automated processing; and careful material selection to avoid interference with normal product operation.</t>
        </is>
      </c>
      <c r="L18" s="73" t="inlineStr">
        <is>
          <t>• What activation temperature is appropriate, and is it safely above normal operating temperatures?
• Can smart material elements be sourced cost-effectively at production volumes?
• Is the process compatible with existing refurbishment infrastructure?
• Can smart fasteners be replaced and reset for subsequent lifecycles?
• What is the environmental profile of the smart materials used?</t>
        </is>
      </c>
      <c r="M18" s="73" t="n">
        <v>76</v>
      </c>
      <c r="N18" s="73" t="inlineStr">
        <is>
          <t>Willems, B., Dewulf, W., &amp; Duflou, J. (2005). Design for active disassembly (DfAD): An outline for future research. Proceedings of the 2005 IEEE International Symposium on Electronics and the Environment, 2005., 129–134. https://doi.org/10.1109/ISEE.2005.1437007</t>
        </is>
      </c>
      <c r="O18" s="73" t="n"/>
      <c r="P18" s="73" t="n"/>
      <c r="Q18" s="73" t="n"/>
      <c r="R18" s="73" t="inlineStr">
        <is>
          <t>LOOP 1,LOOP N,LAST LOOP</t>
        </is>
      </c>
      <c r="S18" s="73" t="inlineStr">
        <is>
          <t>Components,Products</t>
        </is>
      </c>
      <c r="T18" s="73" t="n"/>
      <c r="U18" s="73" t="n"/>
      <c r="V18" s="73" t="n"/>
      <c r="W18" s="73" t="n"/>
      <c r="X18" s="72" t="n"/>
    </row>
    <row r="19" hidden="1" ht="75" customHeight="1" s="76">
      <c r="A19" s="46" t="inlineStr">
        <is>
          <t>use</t>
        </is>
      </c>
      <c r="B19" s="46" t="n">
        <v>158</v>
      </c>
      <c r="C19" s="46" t="inlineStr">
        <is>
          <t>Df Refurbishment</t>
        </is>
      </c>
      <c r="D19" s="46" t="inlineStr">
        <is>
          <t>Df Sustainable Behaviour</t>
        </is>
      </c>
      <c r="E19" s="46" t="inlineStr">
        <is>
          <t>Df Persuasion</t>
        </is>
      </c>
      <c r="F19" s="46" t="n">
        <v>1</v>
      </c>
      <c r="G19" s="46" t="inlineStr">
        <is>
          <t>high</t>
        </is>
      </c>
      <c r="H19" s="46" t="inlineStr">
        <is>
          <t>Design for Persuasion uses physical and interface-level design features to prevent incorrect or damaging use of products. This includes forcing functions that block harmful actions, interlocks that require correct sequences, and affordances that make proper use intuitive. In a refurbishment context, persuasion design protects product integrity during use, ensuring products arrive at the refurbishment facility in better condition.</t>
        </is>
      </c>
      <c r="I19" s="46" t="inlineStr">
        <is>
          <t>This strategy is used to alert the user in order to prevent an incorrect or incomplete operation from continuing. For example, if the door of the fridge is left open, the fridge will alert the user with an audible or visual warning.</t>
        </is>
      </c>
      <c r="J19" s="46" t="inlineStr">
        <is>
          <t>Persuasion design is relevant for products where incorrect use can cause significant damage — industrial equipment with safety-critical operating procedures, consumer products with non-obvious maintenance requirements, or products where misuse accelerates wear. The designer should identify the most common misuse scenarios and design physical or digital constraints that prevent them without frustrating legitimate use.</t>
        </is>
      </c>
      <c r="K19" s="46" t="inlineStr">
        <is>
          <t>Persuasion design features include: forcing functions that prevent incorrect operations (e.g. a dishwasher that won't start with the door ajar); interlocks that enforce correct sequences; affordances that make proper use the most natural action; warning systems that alert users before damage occurs; and physical designs that make misuse mechanically difficult.</t>
        </is>
      </c>
      <c r="L19" s="46" t="inlineStr">
        <is>
          <t>• What are the most common misuse scenarios that reduce the product's refurbishability?
• Can forcing functions be designed to prevent these without frustrating normal use?
• Are there physical affordances that can make correct use the most intuitive option?
• How will the persuasion mechanism degrade over multiple lifecycles — will it still function after refurbishment?
• Can the system log instances of attempted misuse to inform refurbishment assessment?</t>
        </is>
      </c>
      <c r="M19" s="46" t="n">
        <v>141</v>
      </c>
      <c r="N19" s="46" t="inlineStr">
        <is>
          <t>Lockton, D., Harrison, D., &amp; Stanton, N. (2008). Making the user more efficient: design for sustainable behaviour. International Journal of Sustainable Engineering, 1(1), 3–8.</t>
        </is>
      </c>
      <c r="O19" s="46" t="n"/>
      <c r="P19" s="46" t="n"/>
      <c r="Q19" s="46" t="n"/>
      <c r="R19" s="46" t="inlineStr">
        <is>
          <t>LOOP 1</t>
        </is>
      </c>
      <c r="S19" s="46" t="inlineStr">
        <is>
          <t>Products,Systems</t>
        </is>
      </c>
      <c r="T19" s="46" t="inlineStr">
        <is>
          <t>alessio.franconi87@gmail.com</t>
        </is>
      </c>
      <c r="U19" s="46" t="inlineStr">
        <is>
          <t>Wed Nov 25 2020 10:21:46 GMT+0000 (Ora del meridiano di Greenwich)</t>
        </is>
      </c>
      <c r="V19" s="46" t="n"/>
      <c r="W19" s="46" t="n"/>
      <c r="X19" s="71" t="n"/>
    </row>
    <row r="20" ht="75" customHeight="1" s="76">
      <c r="A20" s="73" t="inlineStr">
        <is>
          <t>business</t>
        </is>
      </c>
      <c r="B20" s="73" t="n">
        <v>250</v>
      </c>
      <c r="C20" s="73" t="inlineStr">
        <is>
          <t>Df Refurbishment</t>
        </is>
      </c>
      <c r="D20" s="73" t="inlineStr">
        <is>
          <t>Df Refurbishment Business Model</t>
        </is>
      </c>
      <c r="E20" s="73" t="inlineStr">
        <is>
          <t>Df Product Buyback for Refurbishment</t>
        </is>
      </c>
      <c r="F20" s="73" t="n">
        <v>3</v>
      </c>
      <c r="G20" s="73" t="inlineStr">
        <is>
          <t>medium</t>
        </is>
      </c>
      <c r="H20" s="73" t="inlineStr">
        <is>
          <t>Establish manufacturer-operated buyback programs where end-users return used products for refurbishment. Create transparent pricing models based on product age, condition, and residual value. Design reverse logistics systems collecting products directly from users. Integrate buyback information into sales communications and product documentation.</t>
        </is>
      </c>
      <c r="I20" s="73" t="inlineStr">
        <is>
          <t>In the long-term strategy, users gain incentive to return products when remaining value is recognized and compensated. The benefit of this configuration for the manufacturer always is direct access to used products of known history and controlled condition. Buyback programs establish closed material loops where manufacturers control refurbishment quality and output channels.
Direct product recovery enables manufacturers to capture residual product value rather than losing it to informal second-hand markets. Historical product data collected through buyback enables accelerated remanufacturing and improved next-generation designs. Buyback programs create market conditions where product lifespan becomes manufacturer responsibility rather than user choice.</t>
        </is>
      </c>
      <c r="J20" s="73" t="inlineStr">
        <is>
          <t>Applicable to high-value durables (electronics, appliances, vehicles, furniture) where residual value justifies buyback costs. Particularly effective where brand reputation benefits from closed-loop control.</t>
        </is>
      </c>
      <c r="K20" s="73" t="inlineStr">
        <is>
          <t>Products designed with clear residual value retention features (durable cores, replaceable cosmetics, documented provenance). Marketing communications emphasize buyback benefits. Business systems track product history and condition enabling rapid refurbishment assessment.</t>
        </is>
      </c>
      <c r="L20" s="73" t="inlineStr">
        <is>
          <t>• How will residual value be calculated transparently without exploiting information asymmetries?
• What buyback pricing incentivizes user participation while remaining economically viable?
• How will logistics for reverse collection be coordinated at scale across geographies?
• What warranty and quality guarantees justify buyback prices to end-users?
• How will buyback systems integrate with existing distribution channels and retailer relationships?</t>
        </is>
      </c>
      <c r="M20" s="73" t="n">
        <v>168</v>
      </c>
      <c r="N20" s="73" t="inlineStr">
        <is>
          <t>Lacy, P., Rutqvist, J., &amp; BuddPress, B. (2015). Waste to wealth: the circular economy advantage. Accenture.
Bocken, N. M., de Pauw, I., Bakker, C., &amp; van der Grinten, B. (2016). Product design and business model strategies for a circular economy. Journal of Industrial and Production Engineering, 33(5), 308-320.
Stahel, W. R. (2016). The circular economy. Nature, 531(7595), 435-438.</t>
        </is>
      </c>
      <c r="O20" s="73" t="n"/>
      <c r="P20" s="73" t="n"/>
      <c r="Q20" s="73" t="n"/>
      <c r="R20" s="73" t="inlineStr">
        <is>
          <t>LOOP 1,LOOP N,LAST LOOP</t>
        </is>
      </c>
      <c r="S20" s="73" t="inlineStr">
        <is>
          <t>Products,Processes,Systems</t>
        </is>
      </c>
      <c r="T20" s="73" t="n"/>
      <c r="U20" s="73" t="n"/>
      <c r="V20" s="73" t="n"/>
      <c r="W20" s="73" t="n"/>
      <c r="X20" s="73" t="n"/>
    </row>
    <row r="21" ht="75" customHeight="1" s="76">
      <c r="A21" s="46" t="inlineStr">
        <is>
          <t>business</t>
        </is>
      </c>
      <c r="B21" s="46" t="n">
        <v>251</v>
      </c>
      <c r="C21" s="46" t="inlineStr">
        <is>
          <t>Df Refurbishment</t>
        </is>
      </c>
      <c r="D21" s="46" t="inlineStr">
        <is>
          <t>Df Refurbishment Business Model</t>
        </is>
      </c>
      <c r="E21" s="46" t="inlineStr">
        <is>
          <t>Df Certified Refurbishment Programme</t>
        </is>
      </c>
      <c r="F21" s="46" t="n">
        <v>3</v>
      </c>
      <c r="G21" s="46" t="inlineStr">
        <is>
          <t>medium</t>
        </is>
      </c>
      <c r="H21" s="46" t="inlineStr">
        <is>
          <t>Develop quality standards for refurbished products that approach or match new-product specifications. Create certified refurbishment programs with transparent quality benchmarks, testing protocols, and brand backing. Establish clear communication differentiating certified refurbished products from untested used goods. Implement tracking systems documenting refurbishment procedures and certifications.</t>
        </is>
      </c>
      <c r="I21" s="46" t="inlineStr">
        <is>
          <t>Consumer perception of refurbished products is often negative due to quality uncertainty and information asymmetry about refurbishment procedures. Certified programs reduce perceived risk by applying manufacturer backing and transparent quality standards. Quality certification creates market conditions where refurbished products compete on value rather than discount pricing.
Manufacturer-backed certification programs capture quality value that independent refurbishers cannot monetize. Documented refurbishment procedures create liability clarity and brand protection. Standardized quality benchmarks enable scaling refurbishment operations while maintaining brand reputation.</t>
        </is>
      </c>
      <c r="J21" s="46" t="inlineStr">
        <is>
          <t>Critical for premium product categories and technology products where quality uncertainty creates purchase resistance. Applicable across consumer durables and industrial equipment.</t>
        </is>
      </c>
      <c r="K21" s="46" t="inlineStr">
        <is>
          <t>Refurbished products feature visible certification marks, quality grades, and testing documentation. Products meet documented performance specifications verified through standardized test procedures. Warranty coverage approaches new-product levels with clear coverage documentation.</t>
        </is>
      </c>
      <c r="L21" s="46" t="inlineStr">
        <is>
          <t>• What quality benchmarks for refurbished products balance cost targets with consumer expectations?
• How will testing and certification procedures be documented to ensure transparency and repeatability?
• What warranty coverage and protection plans build consumer confidence in certified refurbished products?
• How will quality grades be communicated without creating excessive complexity for consumers?
• What mechanisms prevent quality standards from degrading as market scale increases?</t>
        </is>
      </c>
      <c r="M21" s="46" t="n">
        <v>168</v>
      </c>
      <c r="N21" s="46" t="inlineStr">
        <is>
          <t>Hazen, B. T., Mollenkopf, D. A., &amp; Wang, Y. (2017). Remanufacturing for the circular economy: an examination of consumer switching behavior. Business Strategy and the Environment, 26(4), 451-464.
Sundin, E., &amp; Bras, B. (2005). Making functional products sustainable through service modularity design. Journal of Cleaner Production, 13(10-11), 993-1006.
Ijomah, W. L., McMahon, C. A., Hammond, G. P., &amp; Newman, S. T. (2007). Development of design for remanufacturing guidelines to support sustainable product design. Journal of Cleaner Production, 15(4), 404-416.</t>
        </is>
      </c>
      <c r="O21" s="46" t="n"/>
      <c r="P21" s="46" t="n"/>
      <c r="Q21" s="46" t="n"/>
      <c r="R21" s="46" t="inlineStr">
        <is>
          <t>LOOP 1,LOOP N,LAST LOOP</t>
        </is>
      </c>
      <c r="S21" s="46" t="inlineStr">
        <is>
          <t>Products,Processes,Systems</t>
        </is>
      </c>
      <c r="T21" s="46" t="n"/>
      <c r="U21" s="46" t="n"/>
      <c r="V21" s="46" t="n"/>
      <c r="W21" s="46" t="n"/>
      <c r="X21" s="46" t="n"/>
    </row>
    <row r="22" ht="75" customHeight="1" s="76">
      <c r="A22" s="73" t="inlineStr">
        <is>
          <t>business</t>
        </is>
      </c>
      <c r="B22" s="73" t="n">
        <v>252</v>
      </c>
      <c r="C22" s="73" t="inlineStr">
        <is>
          <t>Df Refurbishment</t>
        </is>
      </c>
      <c r="D22" s="73" t="inlineStr">
        <is>
          <t>Df Refurbishment Business Model</t>
        </is>
      </c>
      <c r="E22" s="73" t="inlineStr">
        <is>
          <t>Df Third-Party Refurbisher Network</t>
        </is>
      </c>
      <c r="F22" s="73" t="n">
        <v>3</v>
      </c>
      <c r="G22" s="73" t="inlineStr">
        <is>
          <t>medium</t>
        </is>
      </c>
      <c r="H22" s="73" t="inlineStr">
        <is>
          <t>Establish licensing and partnership agreements with independent refurbishers enabling them to refurbish branded products under quality standards. Develop training programs ensuring partner refurbishers meet manufacturer quality benchmarks. Create material and spare parts supply agreements supporting partner operations. Establish certification and brand authorization systems differentiating qualified partners.</t>
        </is>
      </c>
      <c r="I22" s="73" t="inlineStr">
        <is>
          <t>Independent refurbishers possess local market knowledge and customer relationships manufacturers cannot easily replicate. Partnering with licensed networks scales refurbishment capacity without direct capital investment. Quality standards for partner networks prevent brand reputation damage while capturing geographic market coverage.
Third-party networks create competitive markets in refurbishment services, improving efficiency and customer service. Licensed partnerships overcome barriers to scaling centralized refurbishment facilities. Distributed partner networks reduce transportation distances and environmental impacts compared to centralized refurbishment models.</t>
        </is>
      </c>
      <c r="J22" s="73" t="inlineStr">
        <is>
          <t>Applicable where refurbishment capacity exceeds current manufacturer capabilities or where geographic distribution requires local partnerships. Valuable for product categories with established independent service networks.</t>
        </is>
      </c>
      <c r="K22" s="73" t="inlineStr">
        <is>
          <t>Partners operate under documented quality standards and licensing agreements. Products refurbished by certified partners feature partner identification and manufacturer quality backing. Supply agreements ensure partner access to genuine spare parts and refurbishment materials.</t>
        </is>
      </c>
      <c r="L22" s="73" t="inlineStr">
        <is>
          <t>• What quality standards and training programs ensure partner consistency without excessive control?
• How will brand backing be differentiated from partner-only refurbishment?
• What spare parts and material supply mechanisms support distributed partner networks?
• How will partner certification and authorization be maintained and periodically verified?
• What competitive dynamics emerge when multiple licensed refurbishers operate in same regions?</t>
        </is>
      </c>
      <c r="M22" s="73" t="n">
        <v>169</v>
      </c>
      <c r="N22" s="73" t="inlineStr">
        <is>
          <t>Tukker, A. (2015). Product services for a resource-efficient and circular economy–a review. Journal of Cleaner Production, 97, 76-91.
Sundin, E., Lindahl, M., &amp; Ijomah, W. (2009). Product design for successful remanufacturing. In Handbook of Research in Sustainable Manufacturing. IGI Global.
Bakker, C., Wang, F., Huisman, J., &amp; den Hollander, M. (2014). Products that go round: exploring product life extension through design. Journal of Cleaner Production, 69, 10-16.</t>
        </is>
      </c>
      <c r="O22" s="73" t="n"/>
      <c r="P22" s="73" t="n"/>
      <c r="Q22" s="73" t="n"/>
      <c r="R22" s="73" t="inlineStr">
        <is>
          <t>LOOP 1,LOOP N,LAST LOOP</t>
        </is>
      </c>
      <c r="S22" s="73" t="inlineStr">
        <is>
          <t>Products,Processes,Systems</t>
        </is>
      </c>
      <c r="T22" s="73" t="n"/>
      <c r="U22" s="73" t="n"/>
      <c r="V22" s="73" t="n"/>
      <c r="W22" s="73" t="n"/>
      <c r="X22" s="73" t="n"/>
    </row>
    <row r="23" ht="75" customHeight="1" s="76">
      <c r="A23" s="46" t="inlineStr">
        <is>
          <t>business</t>
        </is>
      </c>
      <c r="B23" s="46" t="n">
        <v>253</v>
      </c>
      <c r="C23" s="46" t="inlineStr">
        <is>
          <t>Df Refurbishment</t>
        </is>
      </c>
      <c r="D23" s="46" t="inlineStr">
        <is>
          <t>Df Refurbishment Business Model</t>
        </is>
      </c>
      <c r="E23" s="46" t="inlineStr">
        <is>
          <t>Df Refurbishment Leasing</t>
        </is>
      </c>
      <c r="F23" s="46" t="n">
        <v>3</v>
      </c>
      <c r="G23" s="46" t="inlineStr">
        <is>
          <t>medium</t>
        </is>
      </c>
      <c r="H23" s="46" t="inlineStr">
        <is>
          <t>Design product-service systems where manufacturers lease refurbished products to users rather than selling ownership. Establish leasing cycles where products are recovered, refurbished, and re-leased. Build pricing models covering refurbishment costs and residual value recovery. Create maintenance and support systems ensuring leased products reach next lease cycle in acceptable condition.</t>
        </is>
      </c>
      <c r="I23" s="46" t="inlineStr">
        <is>
          <t>Lease-based models eliminate user capital requirements while maintaining manufacturer control of product lifecycles. Continuous material loops enabled by lease structures create economic incentives for product durability and refurbishment investment. Users gain flexibility to access latest products without ownership liabilities.
Lease models resolve conflict between manufacturer interests (frequent replacement) and environmental interests (extended lifecycles). Performance-based pricing creates incentives for products requiring minimal refurbishment rather than frequent replacement. Leasing creates valuable datasets regarding actual product durability and failure patterns informing future designs.</t>
        </is>
      </c>
      <c r="J23" s="46" t="inlineStr">
        <is>
          <t>Ideal for high-value products, technology categories with frequent feature updates, and commercial equipment. Applicable where user preferences favor flexibility over ownership.</t>
        </is>
      </c>
      <c r="K23" s="46" t="inlineStr">
        <is>
          <t>Products designed for multiple lease cycles with durable cores and replaceable cosmetics. Lease terms specify maintenance responsibilities and condition expectations. Business systems track product history enabling efficient refurbishment assessment.</t>
        </is>
      </c>
      <c r="L23" s="46" t="inlineStr">
        <is>
          <t>• How will lease pricing balance affordability with refurbishment cost recovery?
• What product condition standards ensure lease cycles remain economically viable?
• How will maintenance responsibilities be allocated between users and manufacturers?
• What lease term lengths optimize refurbishment efficiency and user flexibility?
• How will lease models compete with purchase alternatives in different market segments?</t>
        </is>
      </c>
      <c r="M23" s="46" t="n">
        <v>173</v>
      </c>
      <c r="N23" s="46" t="inlineStr">
        <is>
          <t>Manzini, E., &amp; Vezzoli, C. (2003). A strategic design approach to develop sustainable product service systems. Journal of Cleaner Production, 11(8), 851-857.
Geissdoerfer, M., Savaget, P., Bocken, N. M., &amp; Hultink, E. J. (2017). The Circular Economy–A new sustainability paradigm. Journal of Cleaner Production, 143, 757-768.
Lacy, P., Rutqvist, J., &amp; BuddPress, B. (2015). Waste to wealth: the circular economy advantage. Accenture.</t>
        </is>
      </c>
      <c r="O23" s="46" t="n"/>
      <c r="P23" s="46" t="n"/>
      <c r="Q23" s="46" t="n"/>
      <c r="R23" s="46" t="inlineStr">
        <is>
          <t>LOOP 1,LOOP N,LAST LOOP</t>
        </is>
      </c>
      <c r="S23" s="46" t="inlineStr">
        <is>
          <t>Products,Processes,Systems</t>
        </is>
      </c>
      <c r="T23" s="46" t="n"/>
      <c r="U23" s="46" t="n"/>
      <c r="V23" s="46" t="n"/>
      <c r="W23" s="46" t="n"/>
      <c r="X23" s="46" t="n"/>
    </row>
    <row r="24" ht="75" customHeight="1" s="76">
      <c r="A24" s="73" t="inlineStr">
        <is>
          <t>resource</t>
        </is>
      </c>
      <c r="B24" s="73" t="n">
        <v>254</v>
      </c>
      <c r="C24" s="73" t="inlineStr">
        <is>
          <t>Df Refurbishment</t>
        </is>
      </c>
      <c r="D24" s="73" t="inlineStr">
        <is>
          <t>Df Refurbishability</t>
        </is>
      </c>
      <c r="E24" s="73" t="inlineStr">
        <is>
          <t>Df Cosmetic Restorability</t>
        </is>
      </c>
      <c r="F24" s="73" t="n">
        <v>3</v>
      </c>
      <c r="G24" s="73" t="inlineStr">
        <is>
          <t>medium</t>
        </is>
      </c>
      <c r="H24" s="73" t="inlineStr">
        <is>
          <t>Design products with replaceable cosmetic exterior elements that can be economically restored without replacing underlying product cores. Develop quick-disconnect systems for casings, screens, and visible surfaces. Create modular cosmetic elements designed for efficient replacement during refurbishment. Specify materials and finishes for cosmetic elements that can be economically restored without harsh chemical processes.</t>
        </is>
      </c>
      <c r="I24" s="73" t="inlineStr">
        <is>
          <t>Cosmetic degradation drives many replacement decisions despite underlying product functionality remaining intact. Separating cosmetic from functional elements creates conditions where cosmetic restoration becomes economically viable independent of core replacement. Products designed for cosmetic restoration capture significantly higher residual value in refurbishment markets.
Replaceable cosmetics reduce refurbishment complexity and cost compared to full refinishing. Material choices (scratch-resistant coatings, color-stable plastics) enable cosmetic restoration through simple processes. Modular cosmetics enable user customization, creating additional value while supporting diverse refurbishment quality grades.</t>
        </is>
      </c>
      <c r="J24" s="73" t="inlineStr">
        <is>
          <t>Critical for visible-surface products (electronics, appliances, consumer goods, furniture) where cosmetic appearance influences purchase decisions.</t>
        </is>
      </c>
      <c r="K24" s="73" t="inlineStr">
        <is>
          <t>Products feature quick-disconnect cosmetic elements using snap-fit or tool-free connections. Underlying cores feature protected material surfaces resistant to damage during cosmetic removal. Replacement cosmetic elements maintain precise fit and finish matching original specifications.</t>
        </is>
      </c>
      <c r="L24" s="73" t="inlineStr">
        <is>
          <t>• How can cosmetic elements be designed for quick disconnect without compromising product rigidity?
• What material choices for cosmetic elements enable cost-effective restoration or replacement?
• How will color/finish matching be maintained across refurbishment cycles?
• What design tolerances ensure replacement cosmetic elements integrate seamlessly?
• How will cosmetic restoration costs compare to full refinishing across different refurbishment grades?</t>
        </is>
      </c>
      <c r="M24" s="73" t="n">
        <v>170</v>
      </c>
      <c r="N24" s="73" t="inlineStr">
        <is>
          <t>Bakker, C., Wang, F., Huisman, J., &amp; den Hollander, M. (2014). Products that go round: exploring product life extension through design. Journal of Cleaner Production, 69, 10-16.
Sundin, E., &amp; Bras, B. (2005). Making functional products sustainable through service modularity design. Journal of Cleaner Production, 13(10-11), 993-1006.
Vezzoli, C., Ceschin, F., Diehl, J. C., &amp; Kohtala, C. (2015). Why have 'Sustainable Product-Service Systems' not been widely implemented? Meeting new design challenges to achieve societal sustainability.</t>
        </is>
      </c>
      <c r="O24" s="73" t="n"/>
      <c r="P24" s="73" t="n"/>
      <c r="Q24" s="73" t="n"/>
      <c r="R24" s="73" t="inlineStr">
        <is>
          <t>LOOP 1,LOOP N</t>
        </is>
      </c>
      <c r="S24" s="73" t="inlineStr">
        <is>
          <t>Materials,Components,Products</t>
        </is>
      </c>
      <c r="T24" s="73" t="n"/>
      <c r="U24" s="73" t="n"/>
      <c r="V24" s="73" t="n"/>
      <c r="W24" s="73" t="n"/>
      <c r="X24" s="73" t="n"/>
    </row>
    <row r="25" ht="75" customHeight="1" s="76">
      <c r="A25" s="46" t="inlineStr">
        <is>
          <t>resource</t>
        </is>
      </c>
      <c r="B25" s="46" t="n">
        <v>255</v>
      </c>
      <c r="C25" s="46" t="inlineStr">
        <is>
          <t>Df Refurbishment</t>
        </is>
      </c>
      <c r="D25" s="46" t="inlineStr">
        <is>
          <t>Df Refurbishability</t>
        </is>
      </c>
      <c r="E25" s="46" t="inlineStr">
        <is>
          <t>Df Rapid Testability</t>
        </is>
      </c>
      <c r="F25" s="46" t="n">
        <v>3</v>
      </c>
      <c r="G25" s="46" t="inlineStr">
        <is>
          <t>medium</t>
        </is>
      </c>
      <c r="H25" s="46" t="inlineStr">
        <is>
          <t>Integrate test points, diagnostic ports, and built-in self-test capabilities enabling rapid functionality assessment without full disassembly. Design standardized test interfaces enabling automated or semi-automated testing procedures. Develop simple test protocols (visual inspection, electrical test, functional verification) that quickly determine repair versus scrap decisions. Create clear visual indicators showing test point locations and procedures.</t>
        </is>
      </c>
      <c r="I25" s="46" t="inlineStr">
        <is>
          <t>Refurbishment economic viability depends on rapid assessment determining whether products merit refurbishment investment. Products requiring extensive disassembly for functionality testing create high labour costs that often exceed refurbishment value. Rapid testability enables quick scrap/refurbish decisions, reducing assessment costs while improving quality and speed.</t>
        </is>
      </c>
      <c r="J25" s="46" t="inlineStr">
        <is>
          <t>Essential for complex electronic products, mechanical systems, and equipment where internal functionality assessment would otherwise require extensive disassembly.</t>
        </is>
      </c>
      <c r="K25" s="46" t="inlineStr">
        <is>
          <t>Products feature accessible test points, standardized diagnostic ports, and built-in self-test functionality. Product documentation includes clear test procedures and success criteria. Visual markers identify test point locations.</t>
        </is>
      </c>
      <c r="L25" s="46" t="inlineStr">
        <is>
          <t>• What test procedures provide sufficient functionality confidence without complete functional verification?
• How can test points be integrated without compromising product waterproofing or structural integrity?
• What standardization of test interfaces enables reuse across product generations?
• How will test procedures be documented and communicated to refurbishment technicians?
• What automated testing equipment can be justified economically across refurbishment operations?</t>
        </is>
      </c>
      <c r="M25" s="46" t="n">
        <v>170</v>
      </c>
      <c r="N25" s="46" t="inlineStr">
        <is>
          <t>Sundin, E., &amp; Bras, B. (2005). Making functional products sustainable through service modularity design. Journal of Cleaner Production, 13(10-11), 993-1006.
Ijomah, W. L., McMahon, C. A., Hammond, G. P., &amp; Newman, S. T. (2007). Development of design for remanufacturing guidelines to support sustainable product design. Journal of Cleaner Production, 15(4), 404-416.
Lund, R. T. (1983). Remanufacturing: the experience of the United States and implications for developing countries. World Bank Technical Paper, 30.</t>
        </is>
      </c>
      <c r="O25" s="46" t="n"/>
      <c r="P25" s="46" t="n"/>
      <c r="Q25" s="46" t="n"/>
      <c r="R25" s="46" t="inlineStr">
        <is>
          <t>LOOP 1,LOOP N</t>
        </is>
      </c>
      <c r="S25" s="46" t="inlineStr">
        <is>
          <t>Components,Products</t>
        </is>
      </c>
      <c r="T25" s="46" t="n"/>
      <c r="U25" s="46" t="n"/>
      <c r="V25" s="46" t="n"/>
      <c r="W25" s="46" t="n"/>
      <c r="X25" s="46" t="n"/>
    </row>
    <row r="26" ht="75" customHeight="1" s="76">
      <c r="A26" s="73" t="inlineStr">
        <is>
          <t>resource</t>
        </is>
      </c>
      <c r="B26" s="73" t="n">
        <v>256</v>
      </c>
      <c r="C26" s="73" t="inlineStr">
        <is>
          <t>Df Refurbishment</t>
        </is>
      </c>
      <c r="D26" s="73" t="inlineStr">
        <is>
          <t>Df Refurbishability</t>
        </is>
      </c>
      <c r="E26" s="73" t="inlineStr">
        <is>
          <t>Df Wear-Part Isolation</t>
        </is>
      </c>
      <c r="F26" s="73" t="n">
        <v>3</v>
      </c>
      <c r="G26" s="73" t="inlineStr">
        <is>
          <t>medium</t>
        </is>
      </c>
      <c r="H26" s="73" t="inlineStr">
        <is>
          <t>Design products with clear separation between high-wear expendable components and durable product cores. Concentrate wear in replaceable elements (wheels, brushes, pads, seals, screens) rather than spreading wear across integrated structures. Create modular designs enabling wear-part replacement without affecting core product value. Specify wear-part materials optimized for durability within expected service intervals.</t>
        </is>
      </c>
      <c r="I26" s="73" t="inlineStr">
        <is>
          <t>Products designed without wear-part separation become scrap when minor wear elements fail because refurbishment economics cannot justify wear-element restoration. Isolating wear concentrates degradation in economically replaceable modules, preserving durable cores across multiple refurbishment cycles. Wear-part isolation extends core lifespan and reduces total material throughput.
Clear wear-part identification enables faster refurbishment decision-making and reduces refurbishment complexity. Concentrated wear enables predictive replacement scheduling, improving refurbished product reliability. Modular wear parts enable user maintenance, extending product lifespan beyond formal refurbishment cycles.</t>
        </is>
      </c>
      <c r="J26" s="73" t="inlineStr">
        <is>
          <t>Critical for mechanical products, vehicles, tools, and equipment experiencing predictable wear patterns.</t>
        </is>
      </c>
      <c r="K26" s="73" t="inlineStr">
        <is>
          <t>Products feature visually identifiable wear elements with quick-disconnect mounting systems. Core components designed for durability far exceeding wear-part lifespans. Replacement wear parts designed for standardized fitment across product variants.</t>
        </is>
      </c>
      <c r="L26" s="73" t="inlineStr">
        <is>
          <t>• How will wear-part lifespan be predicted and validated across different use conditions?
• What design approaches isolate wear without fragmenting product functionality?
• How can wear-part replacement remain economically viable across different refurbishment quality grades?
• What material specifications optimize wear-part durability within service intervals?
• How will wear-part standardization balance across different product variants and generations?</t>
        </is>
      </c>
      <c r="M26" s="73" t="n">
        <v>170</v>
      </c>
      <c r="N26" s="73" t="inlineStr">
        <is>
          <t>Sundin, E., Lindahl, M., &amp; Ijomah, W. (2009). Product design for successful remanufacturing. In Handbook of Research in Sustainable Manufacturing. IGI Global.
Bakker, C., Wang, F., Huisman, J., &amp; den Hollander, M. (2014). Products that go round: exploring product life extension through design. Journal of Cleaner Production, 69, 10-16.
Vezzoli, C., Ceschin, F., Diehl, J. C., &amp; Kohtala, C. (2015). Why have 'Sustainable Product-Service Systems' not been widely implemented? Meeting new design challenges to achieve societal sustainability.</t>
        </is>
      </c>
      <c r="O26" s="73" t="n"/>
      <c r="P26" s="73" t="n"/>
      <c r="Q26" s="73" t="n"/>
      <c r="R26" s="73" t="inlineStr">
        <is>
          <t>LOOP 1,LOOP N</t>
        </is>
      </c>
      <c r="S26" s="73" t="inlineStr">
        <is>
          <t>Components,Products</t>
        </is>
      </c>
      <c r="T26" s="73" t="n"/>
      <c r="U26" s="73" t="n"/>
      <c r="V26" s="73" t="n"/>
      <c r="W26" s="73" t="n"/>
      <c r="X26" s="73" t="n"/>
    </row>
    <row r="27" ht="75" customHeight="1" s="76">
      <c r="A27" s="46" t="inlineStr">
        <is>
          <t>resource</t>
        </is>
      </c>
      <c r="B27" s="46" t="n">
        <v>257</v>
      </c>
      <c r="C27" s="46" t="inlineStr">
        <is>
          <t>Df Refurbishment</t>
        </is>
      </c>
      <c r="D27" s="46" t="inlineStr">
        <is>
          <t>Df Refurbishability</t>
        </is>
      </c>
      <c r="E27" s="46" t="inlineStr">
        <is>
          <t>Df Standard Spare Parts</t>
        </is>
      </c>
      <c r="F27" s="46" t="n">
        <v>3</v>
      </c>
      <c r="G27" s="46" t="inlineStr">
        <is>
          <t>medium</t>
        </is>
      </c>
      <c r="H27" s="46" t="inlineStr">
        <is>
          <t>Design products using standardized, commodity spare parts rather than product-specific components. Specify commonly available replacement elements (bearings, seals, switches, fasteners, filters) that refurbishers can source from multiple suppliers. Create standardized interfaces enabling spare part interchangeability across product variants and generations. Document spare part specifications enabling third-party suppliers to produce compatible alternatives.</t>
        </is>
      </c>
      <c r="I27" s="46" t="inlineStr">
        <is>
          <t>Product-specific custom components create refurbishment bottlenecks where spare part availability becomes limiting factors. Standardized parts reduce refurbishment lead times and costs through competitive sourcing. Standard parts support distributed refurbishment networks and independent refurbishers who cannot maintain diverse custom part inventories.
Commodity parts create transparent pricing and quality competition. Standard part specifications enable future manufacturer independence if original suppliers discontinue products. Wide spare parts availability extends refurbishment viability far beyond manufacturing company timelines.</t>
        </is>
      </c>
      <c r="J27" s="46" t="inlineStr">
        <is>
          <t>Applicable across mechanical and electrical products where standardized components can replace custom elements without performance compromise.</t>
        </is>
      </c>
      <c r="K27" s="46" t="inlineStr">
        <is>
          <t>Products feature commonly available bearings, switches, connectors, seals, and mechanical elements. Component specifications documented in publicly available standards. Interface designs enable commodity part interchangeability.</t>
        </is>
      </c>
      <c r="L27" s="46" t="inlineStr">
        <is>
          <t>• How can product performance be maintained using commodity parts without custom engineering?
• What interface standardization enables commodity part substitution across variants?
• How will quality consistency be maintained across different commodity part suppliers?
• What trade-offs exist between standardization and product performance optimization?
• How will commodity part availability be assured across product lifespan and beyond?</t>
        </is>
      </c>
      <c r="M27" s="46" t="n">
        <v>107</v>
      </c>
      <c r="N27" s="46" t="inlineStr">
        <is>
          <t>Lund, R. T. (1983). Remanufacturing: the experience of the United States and implications for developing countries. World Bank Technical Paper, 30.
Ijomah, W. L., McMahon, C. A., Hammond, G. P., &amp; Newman, S. T. (2007). Development of design for remanufacturing guidelines to support sustainable product design. Journal of Cleaner Production, 15(4), 404-416.
Allwood, J. M., Ashby, M. F., Gutowski, T. G., &amp; Worrell, E. (2013). Material efficiency: providing material for society. Annual Review of Environment and Resources, 38, 575-600.</t>
        </is>
      </c>
      <c r="O27" s="46" t="n"/>
      <c r="P27" s="46" t="n"/>
      <c r="Q27" s="46" t="n"/>
      <c r="R27" s="46" t="inlineStr">
        <is>
          <t>LOOP 1,LOOP N</t>
        </is>
      </c>
      <c r="S27" s="46" t="inlineStr">
        <is>
          <t>Components,Products</t>
        </is>
      </c>
      <c r="T27" s="46" t="n"/>
      <c r="U27" s="46" t="n"/>
      <c r="V27" s="46" t="n"/>
      <c r="W27" s="46" t="n"/>
      <c r="X27" s="46" t="n"/>
    </row>
    <row r="28" ht="75" customHeight="1" s="76">
      <c r="A28" s="73" t="inlineStr">
        <is>
          <t>logistics</t>
        </is>
      </c>
      <c r="B28" s="73" t="n">
        <v>258</v>
      </c>
      <c r="C28" s="73" t="inlineStr">
        <is>
          <t>Df Refurbishment</t>
        </is>
      </c>
      <c r="D28" s="73" t="inlineStr">
        <is>
          <t>Df Refurbished Product Distribution</t>
        </is>
      </c>
      <c r="E28" s="73" t="inlineStr">
        <is>
          <t>Df Confidence Packaging</t>
        </is>
      </c>
      <c r="F28" s="73" t="n">
        <v>3</v>
      </c>
      <c r="G28" s="73" t="inlineStr">
        <is>
          <t>medium</t>
        </is>
      </c>
      <c r="H28" s="73" t="inlineStr">
        <is>
          <t>Design packaging for refurbished products that communicates quality and care beyond standard protective packaging. Use premium materials and finish communicating product value and refurbishment care. Include visible quality certification, test results, and condition documentation within packaging. Create unboxing experiences comparable to new product packaging, building confidence and brand perception.</t>
        </is>
      </c>
      <c r="I28" s="73" t="inlineStr">
        <is>
          <t>Packaging communicates product value and condition quality before products are opened. Refurbished products often suffer from cheap, minimalist packaging that undermines quality messaging. Premium packaging that matches or approaches new-product presentation shifts consumer perception from 'discounted' to 'carefully restored'.
Packaging serves as brand touchpoint reinforcing refurbishment quality commitment. Visible certification and documentation within packaging overcome information asymmetry creating consumer uncertainty. Premium unboxing experiences create positive brand association and reduce buyer's remorse for refurbished products.</t>
        </is>
      </c>
      <c r="J28" s="73" t="inlineStr">
        <is>
          <t>Critical for consumer-facing refurbished product distribution, particularly premium refurbished products positioned at significant price points.</t>
        </is>
      </c>
      <c r="K28" s="73" t="inlineStr">
        <is>
          <t>Packaging features quality materials and finishing. Clear certification marks, quality grades, and test documentation visible within packaging. Refurbishment history and warranty information prominently displayed.</t>
        </is>
      </c>
      <c r="L28" s="73" t="inlineStr">
        <is>
          <t>• How can premium packaging be economically viable while maintaining refurbishment cost targets?
• What packaging design elements communicate quality without appearing deceptive about refurbished status?
• How will certification and test documentation be integrated into packaging without excessive bulk?
• What unboxing experience elements build brand confidence without increasing packaging cost?
• How will packaging design evolve across different quality grades and price points?</t>
        </is>
      </c>
      <c r="M28" s="73" t="n">
        <v>187</v>
      </c>
      <c r="N28" s="73" t="inlineStr">
        <is>
          <t>Hazen, B. T., Mollenkopf, D. A., &amp; Wang, Y. (2017). Remanufacturing for the circular economy: an examination of consumer switching behavior. Business Strategy and the Environment, 26(4), 451-464.
Bocken, N. M., de Pauw, I., Bakker, C., &amp; van der Grinten, B. (2016). Product design and business model strategies for a circular economy. Journal of Industrial and Production Engineering, 33(5), 308-320.
Geissdoerfer, M., Savaget, P., Bocken, N. M., &amp; Hultink, E. J. (2017). The Circular Economy–A new sustainability paradigm. Journal of Cleaner Production, 143, 757-768.</t>
        </is>
      </c>
      <c r="O28" s="73" t="n"/>
      <c r="P28" s="73" t="n"/>
      <c r="Q28" s="73" t="n"/>
      <c r="R28" s="73" t="inlineStr">
        <is>
          <t>LOOP N,LAST LOOP</t>
        </is>
      </c>
      <c r="S28" s="73" t="inlineStr">
        <is>
          <t>Products,Processes</t>
        </is>
      </c>
      <c r="T28" s="73" t="n"/>
      <c r="U28" s="73" t="n"/>
      <c r="V28" s="73" t="n"/>
      <c r="W28" s="73" t="n"/>
      <c r="X28" s="73" t="n"/>
    </row>
    <row r="29" ht="75" customHeight="1" s="76">
      <c r="A29" s="46" t="inlineStr">
        <is>
          <t>logistics</t>
        </is>
      </c>
      <c r="B29" s="46" t="n">
        <v>259</v>
      </c>
      <c r="C29" s="46" t="inlineStr">
        <is>
          <t>Df Refurbishment</t>
        </is>
      </c>
      <c r="D29" s="46" t="inlineStr">
        <is>
          <t>Df Refurbished Product Distribution</t>
        </is>
      </c>
      <c r="E29" s="46" t="inlineStr">
        <is>
          <t>Df Condition Documentation</t>
        </is>
      </c>
      <c r="F29" s="46" t="n">
        <v>3</v>
      </c>
      <c r="G29" s="46" t="inlineStr">
        <is>
          <t>medium</t>
        </is>
      </c>
      <c r="H29" s="46" t="inlineStr">
        <is>
          <t>Develop comprehensive documentation systems capturing product refurbishment history, test results, and condition assessments. Create standardized condition grading formats describing cosmetic, functional, and performance status. Integrate QR codes linking to detailed online documentation. Design documentation formats suitable for attachment to products, inclusion in packaging, or digital access platforms.</t>
        </is>
      </c>
      <c r="I29" s="46" t="inlineStr">
        <is>
          <t>Information asymmetry regarding refurbished product condition creates consumer uncertainty and resistance. Detailed condition documentation overcomes this asymmetry by providing transparent condition assessment. Standardized grading systems enable consistent communication across different refurbishment providers.
Documentation creates accountability for refurbishment quality, reducing incentives for corner-cutting. Historical condition records enable refurbishment providers to track quality consistency and identify improvement opportunities. Digital documentation enables traceability and warranty support across product lifecycles.</t>
        </is>
      </c>
      <c r="J29" s="46" t="inlineStr">
        <is>
          <t>Essential for all refurbished product distribution channels, particularly important where direct manufacturer-to-consumer sales create information gaps.</t>
        </is>
      </c>
      <c r="K29" s="46" t="inlineStr">
        <is>
          <t>Products include visible condition grading tags, standardized assessment documentation. QR codes linking to detailed test results and refurbishment records. Digital platforms enabling warranty service with historical product information.</t>
        </is>
      </c>
      <c r="L29" s="46" t="inlineStr">
        <is>
          <t>• What condition grading systems balance detail with understandability for non-technical consumers?
• How will documentation systems ensure accuracy and prevent grade inflation?
• What digital systems provide secure, persistent access to historical product information?
• How will condition documentation integrate with warranty and support processes?
• What standardization across different refurbishment providers enables consistent grading?</t>
        </is>
      </c>
      <c r="M29" s="46" t="n">
        <v>176</v>
      </c>
      <c r="N29" s="46" t="inlineStr">
        <is>
          <t>Sundin, E., &amp; Bras, B. (2005). Making functional products sustainable through service modularity design. Journal of Cleaner Production, 13(10-11), 993-1006.
Lund, R. T. (1983). Remanufacturing: the experience of the United States and implications for developing countries. World Bank Technical Paper, 30.
Ijomah, W. L., McMahon, C. A., Hammond, G. P., &amp; Newman, S. T. (2007). Development of design for remanufacturing guidelines to support sustainable product design. Journal of Cleaner Production, 15(4), 404-416.</t>
        </is>
      </c>
      <c r="O29" s="46" t="n"/>
      <c r="P29" s="46" t="n"/>
      <c r="Q29" s="46" t="n"/>
      <c r="R29" s="46" t="inlineStr">
        <is>
          <t>LOOP N,LAST LOOP</t>
        </is>
      </c>
      <c r="S29" s="46" t="inlineStr">
        <is>
          <t>Products,Processes</t>
        </is>
      </c>
      <c r="T29" s="46" t="n"/>
      <c r="U29" s="46" t="n"/>
      <c r="V29" s="46" t="n"/>
      <c r="W29" s="46" t="n"/>
      <c r="X29" s="46" t="n"/>
    </row>
    <row r="30" ht="75" customHeight="1" s="76">
      <c r="A30" s="73" t="inlineStr">
        <is>
          <t>logistics</t>
        </is>
      </c>
      <c r="B30" s="73" t="n">
        <v>260</v>
      </c>
      <c r="C30" s="73" t="inlineStr">
        <is>
          <t>Df Refurbishment</t>
        </is>
      </c>
      <c r="D30" s="73" t="inlineStr">
        <is>
          <t>Df Refurbished Product Distribution</t>
        </is>
      </c>
      <c r="E30" s="73" t="inlineStr">
        <is>
          <t>Df Multi-Channel Readiness</t>
        </is>
      </c>
      <c r="F30" s="73" t="n">
        <v>3</v>
      </c>
      <c r="G30" s="73" t="inlineStr">
        <is>
          <t>medium</t>
        </is>
      </c>
      <c r="H30" s="73" t="inlineStr">
        <is>
          <t>Design products and distribution systems enabling refurbished products to be sold through multiple channels (manufacturer direct, authorized retailers, online marketplaces, independent resellers). Create standardized product presentations, condition grading, and documentation that work consistently across channels. Develop channel-agnostic logistics and warranty systems. Design products compatible with diverse fulfillment and return logistics.</t>
        </is>
      </c>
      <c r="I30" s="73" t="inlineStr">
        <is>
          <t>Refurbished product markets maximize value capture by accessing diverse customer segments through different distribution channels. Channel diversity reduces dependence on single sales models and geographic limitations. Products designed for flexible distribution reach price-sensitive customers through discount channels while maintaining brand positioning through premium retail.</t>
        </is>
      </c>
      <c r="J30" s="73" t="inlineStr">
        <is>
          <t>Applicable to all refurbished product categories where market segmentation enables value capture across different customer types.</t>
        </is>
      </c>
      <c r="K30" s="73" t="inlineStr">
        <is>
          <t>Products feature standardized condition documentation and presentation suitable for diverse channels. Packaging and product design compatible with different fulfillment logistics (direct ship, retailer pickup, marketplace delivery). Warranty systems operational across different sales channels.</t>
        </is>
      </c>
      <c r="L30" s="73" t="inlineStr">
        <is>
          <t>• How can standardized condition grading maintain credibility across different sales channels?
• What channel conflicts emerge when manufacturers sell refurbished products alongside authorized retailers?
• How will pricing consistency be maintained across different channels without channel conflict?
• What warranty and return processes work uniformly across different sales channels?
• How will customer support and services scale across multiple distribution channels?</t>
        </is>
      </c>
      <c r="M30" s="73" t="n">
        <v>188</v>
      </c>
      <c r="N30" s="73" t="inlineStr">
        <is>
          <t>Tukker, A. (2015). Product services for a resource-efficient and circular economy–a review. Journal of Cleaner Production, 97, 76-91.
Geissdoerfer, M., Savaget, P., Bocken, N. M., &amp; Hultink, E. J. (2017). The Circular Economy–A new sustainability paradigm. Journal of Cleaner Production, 143, 757-768.
Bocken, N. M., de Pauw, I., Bakker, C., &amp; van der Grinten, B. (2016). Product design and business model strategies for a circular economy. Journal of Industrial and Production Engineering, 33(5), 308-320.</t>
        </is>
      </c>
      <c r="O30" s="73" t="n"/>
      <c r="P30" s="73" t="n"/>
      <c r="Q30" s="73" t="n"/>
      <c r="R30" s="73" t="inlineStr">
        <is>
          <t>LOOP N,LAST LOOP</t>
        </is>
      </c>
      <c r="S30" s="73" t="inlineStr">
        <is>
          <t>Products,Processes,Systems</t>
        </is>
      </c>
      <c r="T30" s="73" t="n"/>
      <c r="U30" s="73" t="n"/>
      <c r="V30" s="73" t="n"/>
      <c r="W30" s="73" t="n"/>
      <c r="X30" s="73" t="n"/>
    </row>
    <row r="31" ht="75" customHeight="1" s="76">
      <c r="A31" s="46" t="inlineStr">
        <is>
          <t>sale</t>
        </is>
      </c>
      <c r="B31" s="46" t="n">
        <v>261</v>
      </c>
      <c r="C31" s="46" t="inlineStr">
        <is>
          <t>Df Refurbishment</t>
        </is>
      </c>
      <c r="D31" s="46" t="inlineStr">
        <is>
          <t>Df Refurbished Product Trust</t>
        </is>
      </c>
      <c r="E31" s="46" t="inlineStr">
        <is>
          <t>Df Transparent Condition Grading</t>
        </is>
      </c>
      <c r="F31" s="46" t="n">
        <v>3</v>
      </c>
      <c r="G31" s="46" t="inlineStr">
        <is>
          <t>medium</t>
        </is>
      </c>
      <c r="H31" s="46" t="inlineStr">
        <is>
          <t>Establish transparent, standardized condition grading systems (A/B/C or similar) clearly describing cosmetic, functional, and performance status. Create detailed grading criteria accessible to consumers showing exactly what each grade includes and excludes. Display grades prominently in marketing and at point of purchase. Provide examples and comparison images illustrating grade differences.</t>
        </is>
      </c>
      <c r="I31" s="46" t="inlineStr">
        <is>
          <t>Condition grading systems create transparency that builds consumer trust while protecting manufacturers from unrealistic quality expectations. Standardized grades enable pricing differentiation reflecting actual product condition. Clear grading prevents disputes between consumer expectations and actual product condition.
Transparent grading establishes conditions for fair market exchange where refurbished products compete on honest condition representation. Visible grading systems reduce returns and complaints resulting from poor condition communication. Grade transparency enables consumers to make informed purchasing decisions aligned with their quality preferences.</t>
        </is>
      </c>
      <c r="J31" s="46" t="inlineStr">
        <is>
          <t>Essential for all refurbished product sales, particularly important in high-price-point categories and new/emerging refurbished product markets.</t>
        </is>
      </c>
      <c r="K31" s="46" t="inlineStr">
        <is>
          <t>Refurbished products clearly display condition grades (A/B/C) with detailed criteria. Marketing materials show grade examples and comparison images. Point-of-sale communication explains grade meanings and quality implications.</t>
        </is>
      </c>
      <c r="L31" s="46" t="inlineStr">
        <is>
          <t>• How many grading tiers appropriately balance detail with consumer comprehension?
• What testing and assessment procedures ensure consistent grade assignment?
• How will grade definitions be communicated to enable informed consumer decisions?
• What mechanisms prevent grade inflation or inconsistency across refurbishment providers?
• How will grading systems evolve as products age and new condition categories emerge?</t>
        </is>
      </c>
      <c r="M31" s="46" t="n">
        <v>171</v>
      </c>
      <c r="N31" s="46" t="inlineStr">
        <is>
          <t>Hazen, B. T., Mollenkopf, D. A., &amp; Wang, Y. (2017). Remanufacturing for the circular economy: an examination of consumer switching behavior. Business Strategy and the Environment, 26(4), 451-464.
Sundin, E., &amp; Bras, B. (2005). Making functional products sustainable through service modularity design. Journal of Cleaner Production, 13(10-11), 993-1006.
Bocken, N. M., de Pauw, I., Bakker, C., &amp; van der Grinten, B. (2016). Product design and business model strategies for a circular economy. Journal of Industrial and Production Engineering, 33(5), 308-320.</t>
        </is>
      </c>
      <c r="O31" s="46" t="n"/>
      <c r="P31" s="46" t="n"/>
      <c r="Q31" s="46" t="n"/>
      <c r="R31" s="46" t="inlineStr">
        <is>
          <t>LOOP N,LAST LOOP</t>
        </is>
      </c>
      <c r="S31" s="46" t="inlineStr">
        <is>
          <t>Products,Processes,Systems</t>
        </is>
      </c>
      <c r="T31" s="46" t="n"/>
      <c r="U31" s="46" t="n"/>
      <c r="V31" s="46" t="n"/>
      <c r="W31" s="46" t="n"/>
      <c r="X31" s="46" t="n"/>
    </row>
    <row r="32" ht="75" customHeight="1" s="76">
      <c r="A32" s="73" t="inlineStr">
        <is>
          <t>sale</t>
        </is>
      </c>
      <c r="B32" s="73" t="n">
        <v>262</v>
      </c>
      <c r="C32" s="73" t="inlineStr">
        <is>
          <t>Df Refurbishment</t>
        </is>
      </c>
      <c r="D32" s="73" t="inlineStr">
        <is>
          <t>Df Refurbished Product Trust</t>
        </is>
      </c>
      <c r="E32" s="73" t="inlineStr">
        <is>
          <t>Df Warranty Parity</t>
        </is>
      </c>
      <c r="F32" s="73" t="n">
        <v>3</v>
      </c>
      <c r="G32" s="73" t="inlineStr">
        <is>
          <t>medium</t>
        </is>
      </c>
      <c r="H32" s="73" t="inlineStr">
        <is>
          <t>Develop warranty programs for refurbished products that approach or match new-product warranty coverage. Create clear, transparent warranty terms specifying coverage duration, included components, and repair procedures. Establish warranty validity across different sales channels and service networks. Communicate warranty benefits prominently in marketing and at point of purchase.</t>
        </is>
      </c>
      <c r="I32" s="73" t="inlineStr">
        <is>
          <t>Warranty coverage represents significant risk transfer from consumers to manufacturers. Refurbished products with limited warranty coverage signal quality uncertainty and shift risk back to consumers. Comprehensive warranty coverage for refurbished products signals manufacturer confidence in refurbishment quality.
Warranty parity removes major psychological barrier to refurbished purchases where consumers fear being disadvantaged. Manufacturer-backed warranties create conditions where refurbished products compete fairly with new products on risk-adjusted basis. Extended warranty coverage for refurbished products compensates for older component age and accumulated cycles.</t>
        </is>
      </c>
      <c r="J32" s="73" t="inlineStr">
        <is>
          <t>Critical for consumer-facing refurbished products and B2B sales where warranty coverage influences purchase decisions.</t>
        </is>
      </c>
      <c r="K32" s="73" t="inlineStr">
        <is>
          <t>Refurbished products offer warranties comparable to new products (approaching 1-2 years or longer). Warranty terms clearly specify included components and coverage limitations. Warranty is honored across authorized service networks and sales channels.</t>
        </is>
      </c>
      <c r="L32" s="73" t="inlineStr">
        <is>
          <t>• How can extended warranty coverage remain economically viable given refurbished product age?
• What warranty durations build consumer confidence without excessive financial risk?
• How will warranty coverage be communicated to ensure consumer understanding?
• What service networks must be established to fulfill warranty commitments?
• How will warranty failure data inform refurbishment process improvements?</t>
        </is>
      </c>
      <c r="M32" s="73" t="n">
        <v>168</v>
      </c>
      <c r="N32" s="73" t="inlineStr">
        <is>
          <t>Geissdoerfer, M., Savaget, P., Bocken, N. M., &amp; Hultink, E. J. (2017). The Circular Economy–A new sustainability paradigm. Journal of Cleaner Production, 143, 757-768.
Lacy, P., Rutqvist, J., &amp; BuddPress, B. (2015). Waste to wealth: the circular economy advantage. Accenture.
Stahel, W. R. (2016). The circular economy. Nature, 531(7595), 435-438.</t>
        </is>
      </c>
      <c r="O32" s="73" t="n"/>
      <c r="P32" s="73" t="n"/>
      <c r="Q32" s="73" t="n"/>
      <c r="R32" s="73" t="inlineStr">
        <is>
          <t>LOOP N,LAST LOOP</t>
        </is>
      </c>
      <c r="S32" s="73" t="inlineStr">
        <is>
          <t>Products,Systems</t>
        </is>
      </c>
      <c r="T32" s="73" t="n"/>
      <c r="U32" s="73" t="n"/>
      <c r="V32" s="73" t="n"/>
      <c r="W32" s="73" t="n"/>
      <c r="X32" s="73" t="n"/>
    </row>
    <row r="33" ht="75" customHeight="1" s="76">
      <c r="A33" s="46" t="inlineStr">
        <is>
          <t>sale</t>
        </is>
      </c>
      <c r="B33" s="46" t="n">
        <v>263</v>
      </c>
      <c r="C33" s="46" t="inlineStr">
        <is>
          <t>Df Refurbishment</t>
        </is>
      </c>
      <c r="D33" s="46" t="inlineStr">
        <is>
          <t>Df Refurbished Product Trust</t>
        </is>
      </c>
      <c r="E33" s="46" t="inlineStr">
        <is>
          <t>Df Environmental Impact Labelling</t>
        </is>
      </c>
      <c r="F33" s="46" t="n">
        <v>3</v>
      </c>
      <c r="G33" s="46" t="inlineStr">
        <is>
          <t>medium</t>
        </is>
      </c>
      <c r="H33" s="46" t="inlineStr">
        <is>
          <t>Develop and display quantified environmental impact data comparing refurbished products to new product manufacturing. Calculate water savings, carbon emissions avoided, and material waste prevented through refurbishment. Create accessible labelling communicating environmental benefits in simple, understandable formats. Include lifecycle assessment data for technically sophisticated consumers.</t>
        </is>
      </c>
      <c r="I33" s="46" t="inlineStr">
        <is>
          <t>Environmental benefits of refurbishment are often intuitive but not quantified, reducing communication impact. Quantified environmental impact data overcomes skepticism about refurbishment sustainability claims. Clear environmental labelling appeals to growing consumer segments making purchasing decisions based on environmental impact.
Environmental impact data creates competitive advantage in markets where sustainability influences purchase decisions. Transparent environmental quantification prevents greenwashing accusations and builds credibility. Impact data demonstrates that refurbished products offer both economic and environmental benefits aligning incentives.</t>
        </is>
      </c>
      <c r="J33" s="46" t="inlineStr">
        <is>
          <t>Increasingly important for consumer-facing refurbished products and B2B purchasing where environmental impact influences decisions.</t>
        </is>
      </c>
      <c r="K33" s="46" t="inlineStr">
        <is>
          <t>Refurbished products feature visible environmental impact labels showing carbon, water, and material savings. Detailed lifecycle assessment data available in marketing materials or digital platforms. Environmental benefits clearly compared to new product alternatives.</t>
        </is>
      </c>
      <c r="L33" s="46" t="inlineStr">
        <is>
          <t>• How will environmental impact data be calculated consistently across different product types?
• What lifecycle boundaries are appropriate for environmental impact comparison?
• How can environmental data be communicated simply without oversimplification?
• What third-party verification ensures environmental claims credibility?
• How will environmental impact quantification adapt as refurbishment processes improve?</t>
        </is>
      </c>
      <c r="M33" s="46" t="n">
        <v>168</v>
      </c>
      <c r="N33" s="46" t="inlineStr">
        <is>
          <t>Allwood, J. M., Ashby, M. F., Gutowski, T. G., &amp; Worrell, E. (2013). Material efficiency: providing material for society. Annual Review of Environment and Resources, 38, 575-600.
Geissdoerfer, M., Savaget, P., Bocken, N. M., &amp; Hultink, E. J. (2017). The Circular Economy–A new sustainability paradigm. Journal of Cleaner Production, 143, 757-768.
McDonough, W., &amp; Braungart, M. (2002). Cradle to cradle: Remaking the way we make things. North Point Press.</t>
        </is>
      </c>
      <c r="O33" s="46" t="n"/>
      <c r="P33" s="46" t="n"/>
      <c r="Q33" s="46" t="n"/>
      <c r="R33" s="46" t="inlineStr">
        <is>
          <t>LOOP N,LAST LOOP</t>
        </is>
      </c>
      <c r="S33" s="46" t="inlineStr">
        <is>
          <t>Products,Systems</t>
        </is>
      </c>
      <c r="T33" s="46" t="n"/>
      <c r="U33" s="46" t="n"/>
      <c r="V33" s="46" t="n"/>
      <c r="W33" s="46" t="n"/>
      <c r="X33" s="46" t="n"/>
    </row>
    <row r="34" ht="75" customHeight="1" s="76">
      <c r="A34" s="73" t="n"/>
      <c r="B34" s="73" t="n"/>
      <c r="C34" s="73" t="n"/>
      <c r="D34" s="73" t="n"/>
      <c r="E34" s="73" t="n"/>
      <c r="F34" s="73" t="n"/>
      <c r="G34" s="73" t="n"/>
      <c r="H34" s="73" t="n"/>
      <c r="I34" s="73" t="n"/>
      <c r="J34" s="73" t="n"/>
      <c r="K34" s="73" t="n"/>
      <c r="L34" s="73" t="n"/>
      <c r="M34" s="73" t="n"/>
      <c r="N34" s="73" t="n"/>
      <c r="O34" s="73" t="n"/>
      <c r="P34" s="73" t="n"/>
      <c r="Q34" s="73" t="n"/>
      <c r="R34" s="73" t="n"/>
      <c r="S34" s="73" t="n"/>
      <c r="T34" s="73" t="n"/>
      <c r="U34" s="73" t="n"/>
      <c r="V34" s="73" t="n"/>
      <c r="W34" s="73" t="n"/>
      <c r="X34" s="73" t="n"/>
    </row>
    <row r="35" ht="75" customHeight="1" s="76">
      <c r="A35" s="46" t="n"/>
      <c r="B35" s="46" t="n"/>
      <c r="C35" s="46" t="n"/>
      <c r="D35" s="46" t="n"/>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row>
    <row r="36" ht="75" customHeight="1" s="76">
      <c r="A36" s="73" t="n"/>
      <c r="B36" s="73" t="n"/>
      <c r="C36" s="73" t="n"/>
      <c r="D36" s="73" t="n"/>
      <c r="E36" s="73" t="n"/>
      <c r="F36" s="73" t="n"/>
      <c r="G36" s="73" t="n"/>
      <c r="H36" s="73" t="n"/>
      <c r="I36" s="73" t="n"/>
      <c r="J36" s="73" t="n"/>
      <c r="K36" s="73" t="n"/>
      <c r="L36" s="73" t="n"/>
      <c r="M36" s="73" t="n"/>
      <c r="N36" s="73" t="n"/>
      <c r="O36" s="73" t="n"/>
      <c r="P36" s="73" t="n"/>
      <c r="Q36" s="73" t="n"/>
      <c r="R36" s="73" t="n"/>
      <c r="S36" s="73" t="n"/>
      <c r="T36" s="73" t="n"/>
      <c r="U36" s="73" t="n"/>
      <c r="V36" s="73" t="n"/>
      <c r="W36" s="73" t="n"/>
      <c r="X36" s="73" t="n"/>
    </row>
    <row r="37" ht="75" customHeight="1" s="76">
      <c r="A37" s="46" t="n"/>
      <c r="B37" s="46" t="n"/>
      <c r="C37" s="46" t="n"/>
      <c r="D37" s="46" t="n"/>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row>
    <row r="38" ht="75" customHeight="1" s="76">
      <c r="A38" s="73" t="n"/>
      <c r="B38" s="73" t="n"/>
      <c r="C38" s="73" t="n"/>
      <c r="D38" s="73" t="n"/>
      <c r="E38" s="73" t="n"/>
      <c r="F38" s="73" t="n"/>
      <c r="G38" s="73" t="n"/>
      <c r="H38" s="73" t="n"/>
      <c r="I38" s="73" t="n"/>
      <c r="J38" s="73" t="n"/>
      <c r="K38" s="73" t="n"/>
      <c r="L38" s="73" t="n"/>
      <c r="M38" s="73" t="n"/>
      <c r="N38" s="73" t="n"/>
      <c r="O38" s="73" t="n"/>
      <c r="P38" s="73" t="n"/>
      <c r="Q38" s="73" t="n"/>
      <c r="R38" s="73" t="n"/>
      <c r="S38" s="73" t="n"/>
      <c r="T38" s="73" t="n"/>
      <c r="U38" s="73" t="n"/>
      <c r="V38" s="73" t="n"/>
      <c r="W38" s="73" t="n"/>
      <c r="X38" s="73" t="n"/>
    </row>
    <row r="39" ht="75" customHeight="1" s="76">
      <c r="A39" s="46"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row>
    <row r="40" ht="75" customHeight="1" s="76">
      <c r="A40" s="73" t="n"/>
      <c r="B40" s="73" t="n"/>
      <c r="C40" s="73" t="n"/>
      <c r="D40" s="73" t="n"/>
      <c r="E40" s="73" t="n"/>
      <c r="F40" s="73" t="n"/>
      <c r="G40" s="73" t="n"/>
      <c r="H40" s="73" t="n"/>
      <c r="I40" s="73" t="n"/>
      <c r="J40" s="73" t="n"/>
      <c r="K40" s="73" t="n"/>
      <c r="L40" s="73" t="n"/>
      <c r="M40" s="73" t="n"/>
      <c r="N40" s="73" t="n"/>
      <c r="O40" s="73" t="n"/>
      <c r="P40" s="73" t="n"/>
      <c r="Q40" s="73" t="n"/>
      <c r="R40" s="73" t="n"/>
      <c r="S40" s="73" t="n"/>
      <c r="T40" s="73" t="n"/>
      <c r="U40" s="73" t="n"/>
      <c r="V40" s="73" t="n"/>
      <c r="W40" s="73" t="n"/>
      <c r="X40" s="73" t="n"/>
    </row>
    <row r="41" ht="75" customHeight="1" s="76">
      <c r="A41" s="46" t="n"/>
      <c r="B41" s="46" t="n"/>
      <c r="C41" s="46" t="n"/>
      <c r="D41" s="46" t="n"/>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row>
    <row r="42" ht="75" customHeight="1" s="76">
      <c r="A42" s="73" t="n"/>
      <c r="B42" s="73" t="n"/>
      <c r="C42" s="73" t="n"/>
      <c r="D42" s="73" t="n"/>
      <c r="E42" s="73" t="n"/>
      <c r="F42" s="73" t="n"/>
      <c r="G42" s="73" t="n"/>
      <c r="H42" s="73" t="n"/>
      <c r="I42" s="73" t="n"/>
      <c r="J42" s="73" t="n"/>
      <c r="K42" s="73" t="n"/>
      <c r="L42" s="73" t="n"/>
      <c r="M42" s="73" t="n"/>
      <c r="N42" s="73" t="n"/>
      <c r="O42" s="73" t="n"/>
      <c r="P42" s="73" t="n"/>
      <c r="Q42" s="73" t="n"/>
      <c r="R42" s="73" t="n"/>
      <c r="S42" s="73" t="n"/>
      <c r="T42" s="73" t="n"/>
      <c r="U42" s="73" t="n"/>
      <c r="V42" s="73" t="n"/>
      <c r="W42" s="73" t="n"/>
      <c r="X42" s="73" t="n"/>
    </row>
    <row r="43" ht="75" customHeight="1" s="76">
      <c r="A43" s="46" t="n"/>
      <c r="B43" s="46" t="n"/>
      <c r="C43" s="46" t="n"/>
      <c r="D43" s="46" t="n"/>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row>
    <row r="44" ht="75" customHeight="1" s="76">
      <c r="A44" s="73" t="n"/>
      <c r="B44" s="73" t="n"/>
      <c r="C44" s="73" t="n"/>
      <c r="D44" s="73" t="n"/>
      <c r="E44" s="73" t="n"/>
      <c r="F44" s="73" t="n"/>
      <c r="G44" s="73" t="n"/>
      <c r="H44" s="73" t="n"/>
      <c r="I44" s="73" t="n"/>
      <c r="J44" s="73" t="n"/>
      <c r="K44" s="73" t="n"/>
      <c r="L44" s="73" t="n"/>
      <c r="M44" s="73" t="n"/>
      <c r="N44" s="73" t="n"/>
      <c r="O44" s="73" t="n"/>
      <c r="P44" s="73" t="n"/>
      <c r="Q44" s="73" t="n"/>
      <c r="R44" s="73" t="n"/>
      <c r="S44" s="73" t="n"/>
      <c r="T44" s="73" t="n"/>
      <c r="U44" s="73" t="n"/>
      <c r="V44" s="73" t="n"/>
      <c r="W44" s="73" t="n"/>
      <c r="X44" s="73" t="n"/>
    </row>
    <row r="45" ht="75" customHeight="1" s="76">
      <c r="A45" s="46"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row>
    <row r="46" ht="75" customHeight="1" s="76">
      <c r="A46" s="73" t="n"/>
      <c r="B46" s="73" t="n"/>
      <c r="C46" s="73" t="n"/>
      <c r="D46" s="73" t="n"/>
      <c r="E46" s="73" t="n"/>
      <c r="F46" s="73" t="n"/>
      <c r="G46" s="73" t="n"/>
      <c r="H46" s="73" t="n"/>
      <c r="I46" s="73" t="n"/>
      <c r="J46" s="73" t="n"/>
      <c r="K46" s="73" t="n"/>
      <c r="L46" s="73" t="n"/>
      <c r="M46" s="73" t="n"/>
      <c r="N46" s="73" t="n"/>
      <c r="O46" s="73" t="n"/>
      <c r="P46" s="73" t="n"/>
      <c r="Q46" s="73" t="n"/>
      <c r="R46" s="73" t="n"/>
      <c r="S46" s="73" t="n"/>
      <c r="T46" s="73" t="n"/>
      <c r="U46" s="73" t="n"/>
      <c r="V46" s="73" t="n"/>
      <c r="W46" s="73" t="n"/>
      <c r="X46" s="73" t="n"/>
    </row>
    <row r="47" ht="75" customHeight="1" s="76">
      <c r="A47" s="46" t="n"/>
      <c r="B47" s="46" t="n"/>
      <c r="C47" s="46" t="n"/>
      <c r="D47" s="46" t="n"/>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row>
    <row r="48" ht="75" customHeight="1" s="76">
      <c r="A48" s="73" t="n"/>
      <c r="B48" s="73" t="n"/>
      <c r="C48" s="73" t="n"/>
      <c r="D48" s="73" t="n"/>
      <c r="E48" s="73" t="n"/>
      <c r="F48" s="73" t="n"/>
      <c r="G48" s="73" t="n"/>
      <c r="H48" s="73" t="n"/>
      <c r="I48" s="73" t="n"/>
      <c r="J48" s="73" t="n"/>
      <c r="K48" s="73" t="n"/>
      <c r="L48" s="73" t="n"/>
      <c r="M48" s="73" t="n"/>
      <c r="N48" s="73" t="n"/>
      <c r="O48" s="73" t="n"/>
      <c r="P48" s="73" t="n"/>
      <c r="Q48" s="73" t="n"/>
      <c r="R48" s="73" t="n"/>
      <c r="S48" s="73" t="n"/>
      <c r="T48" s="73" t="n"/>
      <c r="U48" s="73" t="n"/>
      <c r="V48" s="73" t="n"/>
      <c r="W48" s="73" t="n"/>
      <c r="X48" s="73" t="n"/>
    </row>
    <row r="49" ht="75" customHeight="1" s="76">
      <c r="A49" s="46" t="n"/>
      <c r="B49" s="46" t="n"/>
      <c r="C49" s="46" t="n"/>
      <c r="D49" s="46" t="n"/>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row>
    <row r="50" ht="75" customHeight="1" s="76">
      <c r="A50" s="73" t="n"/>
      <c r="B50" s="73" t="n"/>
      <c r="C50" s="73" t="n"/>
      <c r="D50" s="73" t="n"/>
      <c r="E50" s="73" t="n"/>
      <c r="F50" s="73" t="n"/>
      <c r="G50" s="73" t="n"/>
      <c r="H50" s="73" t="n"/>
      <c r="I50" s="73" t="n"/>
      <c r="J50" s="73" t="n"/>
      <c r="K50" s="73" t="n"/>
      <c r="L50" s="73" t="n"/>
      <c r="M50" s="73" t="n"/>
      <c r="N50" s="73" t="n"/>
      <c r="O50" s="73" t="n"/>
      <c r="P50" s="73" t="n"/>
      <c r="Q50" s="73" t="n"/>
      <c r="R50" s="73" t="n"/>
      <c r="S50" s="73" t="n"/>
      <c r="T50" s="73" t="n"/>
      <c r="U50" s="73" t="n"/>
      <c r="V50" s="73" t="n"/>
      <c r="W50" s="73" t="n"/>
      <c r="X50" s="73" t="n"/>
    </row>
    <row r="51" ht="75" customHeight="1" s="76">
      <c r="A51" s="46"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row>
    <row r="52" ht="75" customHeight="1" s="76">
      <c r="A52" s="73" t="n"/>
      <c r="B52" s="73" t="n"/>
      <c r="C52" s="73" t="n"/>
      <c r="D52" s="73" t="n"/>
      <c r="E52" s="73" t="n"/>
      <c r="F52" s="73" t="n"/>
      <c r="G52" s="73" t="n"/>
      <c r="H52" s="73" t="n"/>
      <c r="I52" s="73" t="n"/>
      <c r="J52" s="73" t="n"/>
      <c r="K52" s="73" t="n"/>
      <c r="L52" s="73" t="n"/>
      <c r="M52" s="73" t="n"/>
      <c r="N52" s="73" t="n"/>
      <c r="O52" s="73" t="n"/>
      <c r="P52" s="73" t="n"/>
      <c r="Q52" s="73" t="n"/>
      <c r="R52" s="73" t="n"/>
      <c r="S52" s="73" t="n"/>
      <c r="T52" s="73" t="n"/>
      <c r="U52" s="73" t="n"/>
      <c r="V52" s="73" t="n"/>
      <c r="W52" s="73" t="n"/>
      <c r="X52" s="73" t="n"/>
    </row>
    <row r="53" ht="75" customHeight="1" s="76">
      <c r="A53" s="46"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row>
    <row r="54" ht="75" customHeight="1" s="76">
      <c r="A54" s="73" t="n"/>
      <c r="B54" s="73" t="n"/>
      <c r="C54" s="73" t="n"/>
      <c r="D54" s="73" t="n"/>
      <c r="E54" s="73" t="n"/>
      <c r="F54" s="73" t="n"/>
      <c r="G54" s="73" t="n"/>
      <c r="H54" s="73" t="n"/>
      <c r="I54" s="73" t="n"/>
      <c r="J54" s="73" t="n"/>
      <c r="K54" s="73" t="n"/>
      <c r="L54" s="73" t="n"/>
      <c r="M54" s="73" t="n"/>
      <c r="N54" s="73" t="n"/>
      <c r="O54" s="73" t="n"/>
      <c r="P54" s="73" t="n"/>
      <c r="Q54" s="73" t="n"/>
      <c r="R54" s="73" t="n"/>
      <c r="S54" s="73" t="n"/>
      <c r="T54" s="73" t="n"/>
      <c r="U54" s="73" t="n"/>
      <c r="V54" s="73" t="n"/>
      <c r="W54" s="73" t="n"/>
      <c r="X54" s="73" t="n"/>
    </row>
    <row r="55" ht="75" customHeight="1" s="76">
      <c r="A55" s="46" t="n"/>
      <c r="B55" s="46" t="n"/>
      <c r="C55" s="46" t="n"/>
      <c r="D55" s="46" t="n"/>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row>
    <row r="56" ht="75" customHeight="1" s="76">
      <c r="A56" s="73" t="n"/>
      <c r="B56" s="73" t="n"/>
      <c r="C56" s="73" t="n"/>
      <c r="D56" s="73" t="n"/>
      <c r="E56" s="73" t="n"/>
      <c r="F56" s="73" t="n"/>
      <c r="G56" s="73" t="n"/>
      <c r="H56" s="73" t="n"/>
      <c r="I56" s="73" t="n"/>
      <c r="J56" s="73" t="n"/>
      <c r="K56" s="73" t="n"/>
      <c r="L56" s="73" t="n"/>
      <c r="M56" s="73" t="n"/>
      <c r="N56" s="73" t="n"/>
      <c r="O56" s="73" t="n"/>
      <c r="P56" s="73" t="n"/>
      <c r="Q56" s="73" t="n"/>
      <c r="R56" s="73" t="n"/>
      <c r="S56" s="73" t="n"/>
      <c r="T56" s="73" t="n"/>
      <c r="U56" s="73" t="n"/>
      <c r="V56" s="73" t="n"/>
      <c r="W56" s="73" t="n"/>
      <c r="X56" s="73" t="n"/>
    </row>
    <row r="57" ht="75" customHeight="1" s="76">
      <c r="A57" s="46"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row>
    <row r="58" ht="75" customHeight="1" s="76">
      <c r="A58" s="73" t="n"/>
      <c r="B58" s="73" t="n"/>
      <c r="C58" s="73" t="n"/>
      <c r="D58" s="73" t="n"/>
      <c r="E58" s="73" t="n"/>
      <c r="F58" s="73" t="n"/>
      <c r="G58" s="73" t="n"/>
      <c r="H58" s="73" t="n"/>
      <c r="I58" s="73" t="n"/>
      <c r="J58" s="73" t="n"/>
      <c r="K58" s="73" t="n"/>
      <c r="L58" s="73" t="n"/>
      <c r="M58" s="73" t="n"/>
      <c r="N58" s="73" t="n"/>
      <c r="O58" s="73" t="n"/>
      <c r="P58" s="73" t="n"/>
      <c r="Q58" s="73" t="n"/>
      <c r="R58" s="73" t="n"/>
      <c r="S58" s="73" t="n"/>
      <c r="T58" s="73" t="n"/>
      <c r="U58" s="73" t="n"/>
      <c r="V58" s="73" t="n"/>
      <c r="W58" s="73" t="n"/>
      <c r="X58" s="73" t="n"/>
    </row>
    <row r="59" ht="75" customHeight="1" s="76">
      <c r="A59" s="46" t="n"/>
      <c r="B59" s="46" t="n"/>
      <c r="C59" s="46" t="n"/>
      <c r="D59" s="46" t="n"/>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row>
    <row r="60" ht="75" customHeight="1" s="76">
      <c r="A60" s="73" t="n"/>
      <c r="B60" s="73" t="n"/>
      <c r="C60" s="73" t="n"/>
      <c r="D60" s="73" t="n"/>
      <c r="E60" s="73" t="n"/>
      <c r="F60" s="73" t="n"/>
      <c r="G60" s="73" t="n"/>
      <c r="H60" s="73" t="n"/>
      <c r="I60" s="73" t="n"/>
      <c r="J60" s="73" t="n"/>
      <c r="K60" s="73" t="n"/>
      <c r="L60" s="73" t="n"/>
      <c r="M60" s="73" t="n"/>
      <c r="N60" s="73" t="n"/>
      <c r="O60" s="73" t="n"/>
      <c r="P60" s="73" t="n"/>
      <c r="Q60" s="73" t="n"/>
      <c r="R60" s="73" t="n"/>
      <c r="S60" s="73" t="n"/>
      <c r="T60" s="73" t="n"/>
      <c r="U60" s="73" t="n"/>
      <c r="V60" s="73" t="n"/>
      <c r="W60" s="73" t="n"/>
      <c r="X60" s="73" t="n"/>
    </row>
    <row r="61" ht="75" customHeight="1" s="76">
      <c r="A61" s="46"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row>
    <row r="62" ht="75" customHeight="1" s="76">
      <c r="A62" s="73" t="n"/>
      <c r="B62" s="73" t="n"/>
      <c r="C62" s="73" t="n"/>
      <c r="D62" s="73" t="n"/>
      <c r="E62" s="73" t="n"/>
      <c r="F62" s="73" t="n"/>
      <c r="G62" s="73" t="n"/>
      <c r="H62" s="73" t="n"/>
      <c r="I62" s="73" t="n"/>
      <c r="J62" s="73" t="n"/>
      <c r="K62" s="73" t="n"/>
      <c r="L62" s="73" t="n"/>
      <c r="M62" s="73" t="n"/>
      <c r="N62" s="73" t="n"/>
      <c r="O62" s="73" t="n"/>
      <c r="P62" s="73" t="n"/>
      <c r="Q62" s="73" t="n"/>
      <c r="R62" s="73" t="n"/>
      <c r="S62" s="73" t="n"/>
      <c r="T62" s="73" t="n"/>
      <c r="U62" s="73" t="n"/>
      <c r="V62" s="73" t="n"/>
      <c r="W62" s="73" t="n"/>
      <c r="X62" s="73" t="n"/>
    </row>
    <row r="63" ht="75" customHeight="1" s="76">
      <c r="A63" s="46" t="n"/>
      <c r="B63" s="46" t="n"/>
      <c r="C63" s="46" t="n"/>
      <c r="D63" s="46" t="n"/>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row>
    <row r="64" ht="75" customHeight="1" s="76">
      <c r="A64" s="73" t="n"/>
      <c r="B64" s="73" t="n"/>
      <c r="C64" s="73" t="n"/>
      <c r="D64" s="73" t="n"/>
      <c r="E64" s="73" t="n"/>
      <c r="F64" s="73" t="n"/>
      <c r="G64" s="73" t="n"/>
      <c r="H64" s="73" t="n"/>
      <c r="I64" s="73" t="n"/>
      <c r="J64" s="73" t="n"/>
      <c r="K64" s="73" t="n"/>
      <c r="L64" s="73" t="n"/>
      <c r="M64" s="73" t="n"/>
      <c r="N64" s="73" t="n"/>
      <c r="O64" s="73" t="n"/>
      <c r="P64" s="73" t="n"/>
      <c r="Q64" s="73" t="n"/>
      <c r="R64" s="73" t="n"/>
      <c r="S64" s="73" t="n"/>
      <c r="T64" s="73" t="n"/>
      <c r="U64" s="73" t="n"/>
      <c r="V64" s="73" t="n"/>
      <c r="W64" s="73" t="n"/>
      <c r="X64" s="73" t="n"/>
    </row>
    <row r="65" ht="75" customHeight="1" s="76">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row>
    <row r="66" ht="75" customHeight="1" s="76">
      <c r="A66" s="73" t="n"/>
      <c r="B66" s="73" t="n"/>
      <c r="C66" s="73" t="n"/>
      <c r="D66" s="73" t="n"/>
      <c r="E66" s="73" t="n"/>
      <c r="F66" s="73" t="n"/>
      <c r="G66" s="73" t="n"/>
      <c r="H66" s="73" t="n"/>
      <c r="I66" s="73" t="n"/>
      <c r="J66" s="73" t="n"/>
      <c r="K66" s="73" t="n"/>
      <c r="L66" s="73" t="n"/>
      <c r="M66" s="73" t="n"/>
      <c r="N66" s="73" t="n"/>
      <c r="O66" s="73" t="n"/>
      <c r="P66" s="73" t="n"/>
      <c r="Q66" s="73" t="n"/>
      <c r="R66" s="73" t="n"/>
      <c r="S66" s="73" t="n"/>
      <c r="T66" s="73" t="n"/>
      <c r="U66" s="73" t="n"/>
      <c r="V66" s="73" t="n"/>
      <c r="W66" s="73" t="n"/>
      <c r="X66" s="73" t="n"/>
    </row>
    <row r="67" ht="75" customHeight="1" s="76">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row>
    <row r="68" ht="75" customHeight="1" s="76">
      <c r="A68" s="73" t="n"/>
      <c r="B68" s="73" t="n"/>
      <c r="C68" s="73" t="n"/>
      <c r="D68" s="73" t="n"/>
      <c r="E68" s="73" t="n"/>
      <c r="F68" s="73" t="n"/>
      <c r="G68" s="73" t="n"/>
      <c r="H68" s="73" t="n"/>
      <c r="I68" s="73" t="n"/>
      <c r="J68" s="73" t="n"/>
      <c r="K68" s="73" t="n"/>
      <c r="L68" s="73" t="n"/>
      <c r="M68" s="73" t="n"/>
      <c r="N68" s="73" t="n"/>
      <c r="O68" s="73" t="n"/>
      <c r="P68" s="73" t="n"/>
      <c r="Q68" s="73" t="n"/>
      <c r="R68" s="73" t="n"/>
      <c r="S68" s="73" t="n"/>
      <c r="T68" s="73" t="n"/>
      <c r="U68" s="73" t="n"/>
      <c r="V68" s="73" t="n"/>
      <c r="W68" s="73" t="n"/>
      <c r="X68" s="73" t="n"/>
    </row>
    <row r="69" ht="75" customHeight="1" s="76">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row>
    <row r="70" ht="75" customHeight="1" s="76">
      <c r="A70" s="73" t="n"/>
      <c r="B70" s="73" t="n"/>
      <c r="C70" s="73" t="n"/>
      <c r="D70" s="73" t="n"/>
      <c r="E70" s="73" t="n"/>
      <c r="F70" s="73" t="n"/>
      <c r="G70" s="73" t="n"/>
      <c r="H70" s="73" t="n"/>
      <c r="I70" s="73" t="n"/>
      <c r="J70" s="73" t="n"/>
      <c r="K70" s="73" t="n"/>
      <c r="L70" s="73" t="n"/>
      <c r="M70" s="73" t="n"/>
      <c r="N70" s="73" t="n"/>
      <c r="O70" s="73" t="n"/>
      <c r="P70" s="73" t="n"/>
      <c r="Q70" s="73" t="n"/>
      <c r="R70" s="73" t="n"/>
      <c r="S70" s="73" t="n"/>
      <c r="T70" s="73" t="n"/>
      <c r="U70" s="73" t="n"/>
      <c r="V70" s="73" t="n"/>
      <c r="W70" s="73" t="n"/>
      <c r="X70" s="73" t="n"/>
    </row>
    <row r="71" ht="75" customHeight="1" s="76">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row>
    <row r="72" ht="75" customHeight="1" s="76">
      <c r="A72" s="73" t="n"/>
      <c r="B72" s="73" t="n"/>
      <c r="C72" s="73" t="n"/>
      <c r="D72" s="58" t="n"/>
      <c r="E72" s="73" t="n"/>
      <c r="F72" s="73" t="n"/>
      <c r="G72" s="73" t="n"/>
      <c r="H72" s="73" t="n"/>
      <c r="I72" s="73" t="n"/>
      <c r="J72" s="73" t="n"/>
      <c r="K72" s="73" t="n"/>
      <c r="L72" s="73" t="n"/>
      <c r="M72" s="73" t="n"/>
      <c r="N72" s="73" t="n"/>
      <c r="O72" s="73" t="n"/>
      <c r="P72" s="73" t="n"/>
      <c r="Q72" s="73" t="n"/>
      <c r="R72" s="73" t="n"/>
      <c r="S72" s="73" t="n"/>
      <c r="T72" s="73" t="n"/>
      <c r="U72" s="73" t="n"/>
      <c r="V72" s="73" t="n"/>
      <c r="W72" s="73" t="n"/>
      <c r="X72" s="73" t="n"/>
    </row>
    <row r="73" ht="75" customHeight="1" s="76">
      <c r="A73" s="46" t="n"/>
      <c r="B73" s="46" t="n"/>
      <c r="C73" s="46" t="n"/>
      <c r="D73" s="58"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row>
    <row r="74" ht="75" customHeight="1" s="76">
      <c r="A74" s="73" t="n"/>
      <c r="B74" s="73" t="n"/>
      <c r="C74" s="73" t="n"/>
      <c r="D74" s="58" t="n"/>
      <c r="E74" s="73" t="n"/>
      <c r="F74" s="73" t="n"/>
      <c r="G74" s="73" t="n"/>
      <c r="H74" s="73" t="n"/>
      <c r="I74" s="73" t="n"/>
      <c r="J74" s="73" t="n"/>
      <c r="K74" s="73" t="n"/>
      <c r="L74" s="73" t="n"/>
      <c r="M74" s="73" t="n"/>
      <c r="N74" s="73" t="n"/>
      <c r="O74" s="73" t="n"/>
      <c r="P74" s="73" t="n"/>
      <c r="Q74" s="73" t="n"/>
      <c r="R74" s="73" t="n"/>
      <c r="S74" s="73" t="n"/>
      <c r="T74" s="73" t="n"/>
      <c r="U74" s="73" t="n"/>
      <c r="V74" s="73" t="n"/>
      <c r="W74" s="73" t="n"/>
      <c r="X74" s="73" t="n"/>
    </row>
    <row r="75" ht="75" customHeight="1" s="76">
      <c r="A75" s="46" t="n"/>
      <c r="B75" s="46" t="n"/>
      <c r="C75" s="46" t="n"/>
      <c r="D75" s="58"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row>
    <row r="76" ht="75" customHeight="1" s="76">
      <c r="A76" s="73" t="n"/>
      <c r="B76" s="73" t="n"/>
      <c r="C76" s="73" t="n"/>
      <c r="D76" s="58" t="n"/>
      <c r="E76" s="73" t="n"/>
      <c r="F76" s="73" t="n"/>
      <c r="G76" s="73" t="n"/>
      <c r="H76" s="73" t="n"/>
      <c r="I76" s="73" t="n"/>
      <c r="J76" s="73" t="n"/>
      <c r="K76" s="73" t="n"/>
      <c r="L76" s="73" t="n"/>
      <c r="M76" s="73" t="n"/>
      <c r="N76" s="73" t="n"/>
      <c r="O76" s="73" t="n"/>
      <c r="P76" s="73" t="n"/>
      <c r="Q76" s="73" t="n"/>
      <c r="R76" s="67" t="n"/>
      <c r="S76" s="67" t="n"/>
      <c r="T76" s="73" t="n"/>
      <c r="U76" s="73" t="n"/>
      <c r="V76" s="73" t="n"/>
      <c r="W76" s="73" t="n"/>
      <c r="X76" s="73" t="n"/>
    </row>
    <row r="77" ht="75" customHeight="1" s="76">
      <c r="A77" s="46" t="n"/>
      <c r="B77" s="46" t="n"/>
      <c r="C77" s="46" t="n"/>
      <c r="D77" s="58"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row>
    <row r="78" ht="75" customHeight="1" s="76">
      <c r="A78" s="73" t="n"/>
      <c r="B78" s="73" t="n"/>
      <c r="C78" s="73" t="n"/>
      <c r="D78" s="58" t="n"/>
      <c r="E78" s="73" t="n"/>
      <c r="F78" s="73" t="n"/>
      <c r="G78" s="73" t="n"/>
      <c r="H78" s="73" t="n"/>
      <c r="I78" s="73" t="n"/>
      <c r="J78" s="73" t="n"/>
      <c r="K78" s="73" t="n"/>
      <c r="L78" s="73" t="n"/>
      <c r="M78" s="73" t="n"/>
      <c r="N78" s="73" t="n"/>
      <c r="O78" s="73" t="n"/>
      <c r="P78" s="73" t="n"/>
      <c r="Q78" s="73" t="n"/>
      <c r="R78" s="73" t="n"/>
      <c r="S78" s="73" t="n"/>
      <c r="T78" s="73" t="n"/>
      <c r="U78" s="73" t="n"/>
      <c r="V78" s="73" t="n"/>
      <c r="W78" s="73" t="n"/>
      <c r="X78" s="73" t="n"/>
    </row>
    <row r="79" ht="75" customHeight="1" s="76">
      <c r="A79" s="46" t="n"/>
      <c r="B79" s="46" t="n"/>
      <c r="C79" s="46" t="n"/>
      <c r="D79" s="58"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row>
    <row r="80" ht="75" customHeight="1" s="76">
      <c r="A80" s="73" t="n"/>
      <c r="B80" s="73" t="n"/>
      <c r="C80" s="73" t="n"/>
      <c r="D80" s="58" t="n"/>
      <c r="E80" s="73" t="n"/>
      <c r="F80" s="73" t="n"/>
      <c r="G80" s="73" t="n"/>
      <c r="H80" s="73" t="n"/>
      <c r="I80" s="73" t="n"/>
      <c r="J80" s="73" t="n"/>
      <c r="K80" s="73" t="n"/>
      <c r="L80" s="73" t="n"/>
      <c r="M80" s="73" t="n"/>
      <c r="N80" s="73" t="n"/>
      <c r="O80" s="73" t="n"/>
      <c r="P80" s="73" t="n"/>
      <c r="Q80" s="73" t="n"/>
      <c r="R80" s="73" t="n"/>
      <c r="S80" s="73" t="n"/>
      <c r="T80" s="73" t="n"/>
      <c r="U80" s="73" t="n"/>
      <c r="V80" s="73" t="n"/>
      <c r="W80" s="73" t="n"/>
      <c r="X80" s="73" t="n"/>
    </row>
    <row r="81" ht="75" customHeight="1" s="76">
      <c r="A81" s="46" t="n"/>
      <c r="B81" s="46" t="n"/>
      <c r="C81" s="46" t="n"/>
      <c r="D81" s="58"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row>
    <row r="82" ht="75" customHeight="1" s="76">
      <c r="A82" s="73" t="n"/>
      <c r="B82" s="73" t="n"/>
      <c r="C82" s="73" t="n"/>
      <c r="D82" s="58" t="n"/>
      <c r="E82" s="73" t="n"/>
      <c r="F82" s="73" t="n"/>
      <c r="G82" s="73" t="n"/>
      <c r="H82" s="73" t="n"/>
      <c r="I82" s="73" t="n"/>
      <c r="J82" s="73" t="n"/>
      <c r="K82" s="73" t="n"/>
      <c r="L82" s="73" t="n"/>
      <c r="M82" s="73" t="n"/>
      <c r="N82" s="73" t="n"/>
      <c r="O82" s="73" t="n"/>
      <c r="P82" s="73" t="n"/>
      <c r="Q82" s="73" t="n"/>
      <c r="R82" s="73" t="n"/>
      <c r="S82" s="73" t="n"/>
      <c r="T82" s="73" t="n"/>
      <c r="U82" s="73" t="n"/>
      <c r="V82" s="73" t="n"/>
      <c r="W82" s="73" t="n"/>
      <c r="X82" s="73" t="n"/>
    </row>
    <row r="83" ht="75" customHeight="1" s="76">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row>
    <row r="84" ht="75" customHeight="1" s="76">
      <c r="A84" s="73" t="n"/>
      <c r="B84" s="73" t="n"/>
      <c r="C84" s="73" t="n"/>
      <c r="D84" s="73" t="n"/>
      <c r="E84" s="73" t="n"/>
      <c r="F84" s="73" t="n"/>
      <c r="G84" s="73" t="n"/>
      <c r="H84" s="73" t="n"/>
      <c r="I84" s="73" t="n"/>
      <c r="J84" s="73" t="n"/>
      <c r="K84" s="73" t="n"/>
      <c r="L84" s="73" t="n"/>
      <c r="M84" s="73" t="n"/>
      <c r="N84" s="73" t="n"/>
      <c r="O84" s="73" t="n"/>
      <c r="P84" s="73" t="n"/>
      <c r="Q84" s="73" t="n"/>
      <c r="R84" s="73" t="n"/>
      <c r="S84" s="73" t="n"/>
      <c r="T84" s="73" t="n"/>
      <c r="U84" s="73" t="n"/>
      <c r="V84" s="73" t="n"/>
      <c r="W84" s="73" t="n"/>
      <c r="X84" s="73" t="n"/>
    </row>
    <row r="85" ht="75" customHeight="1" s="76">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row>
    <row r="86" ht="75" customHeight="1" s="76">
      <c r="A86" s="73" t="n"/>
      <c r="B86" s="73" t="n"/>
      <c r="C86" s="73" t="n"/>
      <c r="D86" s="73" t="n"/>
      <c r="E86" s="73" t="n"/>
      <c r="F86" s="73" t="n"/>
      <c r="G86" s="73" t="n"/>
      <c r="H86" s="73" t="n"/>
      <c r="I86" s="73" t="n"/>
      <c r="J86" s="73" t="n"/>
      <c r="K86" s="73" t="n"/>
      <c r="L86" s="73" t="n"/>
      <c r="M86" s="73" t="n"/>
      <c r="N86" s="73" t="n"/>
      <c r="O86" s="73" t="n"/>
      <c r="P86" s="73" t="n"/>
      <c r="Q86" s="73" t="n"/>
      <c r="R86" s="73" t="n"/>
      <c r="S86" s="73" t="n"/>
      <c r="T86" s="73" t="n"/>
      <c r="U86" s="73" t="n"/>
      <c r="V86" s="73" t="n"/>
      <c r="W86" s="73" t="n"/>
      <c r="X86" s="73" t="n"/>
    </row>
    <row r="87" ht="75" customHeight="1" s="76">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row>
    <row r="88" ht="75" customHeight="1" s="76">
      <c r="A88" s="73" t="n"/>
      <c r="B88" s="73" t="n"/>
      <c r="C88" s="73" t="n"/>
      <c r="D88" s="73" t="n"/>
      <c r="E88" s="73" t="n"/>
      <c r="F88" s="73" t="n"/>
      <c r="G88" s="73" t="n"/>
      <c r="H88" s="73" t="n"/>
      <c r="I88" s="73" t="n"/>
      <c r="J88" s="73" t="n"/>
      <c r="K88" s="73" t="n"/>
      <c r="L88" s="73" t="n"/>
      <c r="M88" s="73" t="n"/>
      <c r="N88" s="73" t="n"/>
      <c r="O88" s="73" t="n"/>
      <c r="P88" s="73" t="n"/>
      <c r="Q88" s="73" t="n"/>
      <c r="R88" s="73" t="n"/>
      <c r="S88" s="73" t="n"/>
      <c r="T88" s="73" t="n"/>
      <c r="U88" s="73" t="n"/>
      <c r="V88" s="73" t="n"/>
      <c r="W88" s="73" t="n"/>
      <c r="X88" s="73" t="n"/>
    </row>
    <row r="89" ht="75" customHeight="1" s="76">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row>
    <row r="90" ht="75" customHeight="1" s="76">
      <c r="A90" s="73" t="n"/>
      <c r="B90" s="73" t="n"/>
      <c r="C90" s="73" t="n"/>
      <c r="D90" s="73" t="n"/>
      <c r="E90" s="73" t="n"/>
      <c r="F90" s="73" t="n"/>
      <c r="G90" s="73" t="n"/>
      <c r="H90" s="73" t="n"/>
      <c r="I90" s="73" t="n"/>
      <c r="J90" s="73" t="n"/>
      <c r="K90" s="73" t="n"/>
      <c r="L90" s="73" t="n"/>
      <c r="M90" s="73" t="n"/>
      <c r="N90" s="73" t="n"/>
      <c r="O90" s="73" t="n"/>
      <c r="P90" s="73" t="n"/>
      <c r="Q90" s="73" t="n"/>
      <c r="R90" s="73" t="n"/>
      <c r="S90" s="73" t="n"/>
      <c r="T90" s="73" t="n"/>
      <c r="U90" s="73" t="n"/>
      <c r="V90" s="73" t="n"/>
      <c r="W90" s="73" t="n"/>
      <c r="X90" s="73" t="n"/>
    </row>
    <row r="91" ht="75" customHeight="1" s="76">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row>
    <row r="92" ht="75" customHeight="1" s="76">
      <c r="A92" s="73" t="n"/>
      <c r="B92" s="73" t="n"/>
      <c r="C92" s="73" t="n"/>
      <c r="D92" s="73" t="n"/>
      <c r="E92" s="73" t="n"/>
      <c r="F92" s="73" t="n"/>
      <c r="G92" s="73" t="n"/>
      <c r="H92" s="73" t="n"/>
      <c r="I92" s="73" t="n"/>
      <c r="J92" s="73" t="n"/>
      <c r="K92" s="73" t="n"/>
      <c r="L92" s="73" t="n"/>
      <c r="M92" s="73" t="n"/>
      <c r="N92" s="73" t="n"/>
      <c r="O92" s="73" t="n"/>
      <c r="P92" s="73" t="n"/>
      <c r="Q92" s="73" t="n"/>
      <c r="R92" s="73" t="n"/>
      <c r="S92" s="73" t="n"/>
      <c r="T92" s="73" t="n"/>
      <c r="U92" s="73" t="n"/>
      <c r="V92" s="73" t="n"/>
      <c r="W92" s="73" t="n"/>
      <c r="X92" s="73" t="n"/>
    </row>
    <row r="93" ht="75" customHeight="1" s="76">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row>
    <row r="94" ht="75" customHeight="1" s="76">
      <c r="A94" s="73" t="n"/>
      <c r="B94" s="73" t="n"/>
      <c r="C94" s="73" t="n"/>
      <c r="D94" s="73" t="n"/>
      <c r="E94" s="73" t="n"/>
      <c r="F94" s="73" t="n"/>
      <c r="G94" s="73" t="n"/>
      <c r="H94" s="73" t="n"/>
      <c r="I94" s="73" t="n"/>
      <c r="J94" s="73" t="n"/>
      <c r="K94" s="73" t="n"/>
      <c r="L94" s="73" t="n"/>
      <c r="M94" s="73" t="n"/>
      <c r="N94" s="73" t="n"/>
      <c r="O94" s="73" t="n"/>
      <c r="P94" s="73" t="n"/>
      <c r="Q94" s="73" t="n"/>
      <c r="R94" s="73" t="n"/>
      <c r="S94" s="73" t="n"/>
      <c r="T94" s="73" t="n"/>
      <c r="U94" s="73" t="n"/>
      <c r="V94" s="73" t="n"/>
      <c r="W94" s="73" t="n"/>
      <c r="X94" s="73" t="n"/>
    </row>
    <row r="95" ht="75" customHeight="1" s="76">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row>
    <row r="96" ht="75" customHeight="1" s="76">
      <c r="A96" s="73" t="n"/>
      <c r="B96" s="73" t="n"/>
      <c r="C96" s="73" t="n"/>
      <c r="D96" s="73" t="n"/>
      <c r="E96" s="73" t="n"/>
      <c r="F96" s="73" t="n"/>
      <c r="G96" s="73" t="n"/>
      <c r="H96" s="73" t="n"/>
      <c r="I96" s="73" t="n"/>
      <c r="J96" s="73" t="n"/>
      <c r="K96" s="73" t="n"/>
      <c r="L96" s="73" t="n"/>
      <c r="M96" s="73" t="n"/>
      <c r="N96" s="73" t="n"/>
      <c r="O96" s="73" t="n"/>
      <c r="P96" s="73" t="n"/>
      <c r="Q96" s="73" t="n"/>
      <c r="R96" s="73" t="n"/>
      <c r="S96" s="73" t="n"/>
      <c r="T96" s="73" t="n"/>
      <c r="U96" s="73" t="n"/>
      <c r="V96" s="73" t="n"/>
      <c r="W96" s="73" t="n"/>
      <c r="X96" s="73" t="n"/>
    </row>
    <row r="97" ht="75" customHeight="1" s="76">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row>
    <row r="98" ht="75" customHeight="1" s="76">
      <c r="A98" s="73" t="n"/>
      <c r="B98" s="73" t="n"/>
      <c r="C98" s="73" t="n"/>
      <c r="D98" s="73" t="n"/>
      <c r="E98" s="73" t="n"/>
      <c r="F98" s="73" t="n"/>
      <c r="G98" s="73" t="n"/>
      <c r="H98" s="73" t="n"/>
      <c r="I98" s="73" t="n"/>
      <c r="J98" s="73" t="n"/>
      <c r="K98" s="73" t="n"/>
      <c r="L98" s="73" t="n"/>
      <c r="M98" s="73" t="n"/>
      <c r="N98" s="73" t="n"/>
      <c r="O98" s="73" t="n"/>
      <c r="P98" s="73" t="n"/>
      <c r="Q98" s="73" t="n"/>
      <c r="R98" s="73" t="n"/>
      <c r="S98" s="73" t="n"/>
      <c r="T98" s="73" t="n"/>
      <c r="U98" s="73" t="n"/>
      <c r="V98" s="73" t="n"/>
      <c r="W98" s="73" t="n"/>
      <c r="X98" s="73" t="n"/>
    </row>
    <row r="99" ht="75" customHeight="1" s="76">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row>
    <row r="100" ht="75" customHeight="1" s="76">
      <c r="A100" s="73" t="n"/>
      <c r="B100" s="73" t="n"/>
      <c r="C100" s="73" t="n"/>
      <c r="D100" s="73" t="n"/>
      <c r="E100" s="73" t="n"/>
      <c r="F100" s="73" t="n"/>
      <c r="G100" s="73" t="n"/>
      <c r="H100" s="73" t="n"/>
      <c r="I100" s="73" t="n"/>
      <c r="J100" s="73" t="n"/>
      <c r="K100" s="73" t="n"/>
      <c r="L100" s="73" t="n"/>
      <c r="M100" s="73" t="n"/>
      <c r="N100" s="73" t="n"/>
      <c r="O100" s="73" t="n"/>
      <c r="P100" s="73" t="n"/>
      <c r="Q100" s="73" t="n"/>
      <c r="R100" s="73" t="n"/>
      <c r="S100" s="73" t="n"/>
      <c r="T100" s="73" t="n"/>
      <c r="U100" s="73" t="n"/>
      <c r="V100" s="73" t="n"/>
      <c r="W100" s="73" t="n"/>
      <c r="X100" s="73" t="n"/>
    </row>
    <row r="101" ht="75" customHeight="1" s="76">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row>
    <row r="102" ht="75" customHeight="1" s="76">
      <c r="A102" s="73" t="n"/>
      <c r="B102" s="73" t="n"/>
      <c r="C102" s="73" t="n"/>
      <c r="D102" s="73" t="n"/>
      <c r="E102" s="73" t="n"/>
      <c r="F102" s="73" t="n"/>
      <c r="G102" s="73" t="n"/>
      <c r="H102" s="73" t="n"/>
      <c r="I102" s="73" t="n"/>
      <c r="J102" s="73" t="n"/>
      <c r="K102" s="73" t="n"/>
      <c r="L102" s="73" t="n"/>
      <c r="M102" s="73" t="n"/>
      <c r="N102" s="73" t="n"/>
      <c r="O102" s="73" t="n"/>
      <c r="P102" s="73" t="n"/>
      <c r="Q102" s="73" t="n"/>
      <c r="R102" s="73" t="n"/>
      <c r="S102" s="73" t="n"/>
      <c r="T102" s="73" t="n"/>
      <c r="U102" s="73" t="n"/>
      <c r="V102" s="73" t="n"/>
      <c r="W102" s="73" t="n"/>
      <c r="X102" s="73" t="n"/>
    </row>
    <row r="103" ht="75" customHeight="1" s="76">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row>
    <row r="104" ht="75" customHeight="1" s="76">
      <c r="A104" s="73" t="n"/>
      <c r="B104" s="73" t="n"/>
      <c r="C104" s="73" t="n"/>
      <c r="D104" s="73" t="n"/>
      <c r="E104" s="73" t="n"/>
      <c r="F104" s="73" t="n"/>
      <c r="G104" s="73" t="n"/>
      <c r="H104" s="73" t="n"/>
      <c r="I104" s="73" t="n"/>
      <c r="J104" s="73" t="n"/>
      <c r="K104" s="73" t="n"/>
      <c r="L104" s="73" t="n"/>
      <c r="M104" s="73" t="n"/>
      <c r="N104" s="73" t="n"/>
      <c r="O104" s="73" t="n"/>
      <c r="P104" s="73" t="n"/>
      <c r="Q104" s="73" t="n"/>
      <c r="R104" s="73" t="n"/>
      <c r="S104" s="73" t="n"/>
      <c r="T104" s="73" t="n"/>
      <c r="U104" s="73" t="n"/>
      <c r="V104" s="73" t="n"/>
      <c r="W104" s="73" t="n"/>
      <c r="X104" s="73" t="n"/>
    </row>
    <row r="105" ht="75" customHeight="1" s="76">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row>
    <row r="106" ht="75" customHeight="1" s="76">
      <c r="A106" s="73" t="n"/>
      <c r="B106" s="73" t="n"/>
      <c r="C106" s="73" t="n"/>
      <c r="D106" s="73" t="n"/>
      <c r="E106" s="73" t="n"/>
      <c r="F106" s="73" t="n"/>
      <c r="G106" s="73" t="n"/>
      <c r="H106" s="73" t="n"/>
      <c r="I106" s="73" t="n"/>
      <c r="J106" s="73" t="n"/>
      <c r="K106" s="73" t="n"/>
      <c r="L106" s="73" t="n"/>
      <c r="M106" s="73" t="n"/>
      <c r="N106" s="73" t="n"/>
      <c r="O106" s="73" t="n"/>
      <c r="P106" s="73" t="n"/>
      <c r="Q106" s="73" t="n"/>
      <c r="R106" s="73" t="n"/>
      <c r="S106" s="73" t="n"/>
      <c r="T106" s="73" t="n"/>
      <c r="U106" s="73" t="n"/>
      <c r="V106" s="73" t="n"/>
      <c r="W106" s="73" t="n"/>
      <c r="X106" s="73" t="n"/>
    </row>
    <row r="107" ht="75" customHeight="1" s="76">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row>
    <row r="108" ht="75" customHeight="1" s="76">
      <c r="A108" s="73" t="n"/>
      <c r="B108" s="73" t="n"/>
      <c r="C108" s="73" t="n"/>
      <c r="D108" s="73" t="n"/>
      <c r="E108" s="73" t="n"/>
      <c r="F108" s="73" t="n"/>
      <c r="G108" s="73" t="n"/>
      <c r="H108" s="73" t="n"/>
      <c r="I108" s="73" t="n"/>
      <c r="J108" s="73" t="n"/>
      <c r="K108" s="73" t="n"/>
      <c r="L108" s="73" t="n"/>
      <c r="M108" s="73" t="n"/>
      <c r="N108" s="73" t="n"/>
      <c r="O108" s="73" t="n"/>
      <c r="P108" s="73" t="n"/>
      <c r="Q108" s="73" t="n"/>
      <c r="R108" s="73" t="n"/>
      <c r="S108" s="73" t="n"/>
      <c r="T108" s="73" t="n"/>
      <c r="U108" s="73" t="n"/>
      <c r="V108" s="73" t="n"/>
      <c r="W108" s="73" t="n"/>
      <c r="X108" s="73" t="n"/>
    </row>
    <row r="109" ht="75" customHeight="1" s="76">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row>
    <row r="110" ht="75" customHeight="1" s="76">
      <c r="A110" s="73" t="n"/>
      <c r="B110" s="73" t="n"/>
      <c r="C110" s="73" t="n"/>
      <c r="D110" s="73" t="n"/>
      <c r="E110" s="73" t="n"/>
      <c r="F110" s="73" t="n"/>
      <c r="G110" s="73" t="n"/>
      <c r="H110" s="73" t="n"/>
      <c r="I110" s="73" t="n"/>
      <c r="J110" s="73" t="n"/>
      <c r="K110" s="73" t="n"/>
      <c r="L110" s="73" t="n"/>
      <c r="M110" s="73" t="n"/>
      <c r="N110" s="73" t="n"/>
      <c r="O110" s="73" t="n"/>
      <c r="P110" s="73" t="n"/>
      <c r="Q110" s="73" t="n"/>
      <c r="R110" s="73" t="n"/>
      <c r="S110" s="73" t="n"/>
      <c r="T110" s="73" t="n"/>
      <c r="U110" s="73" t="n"/>
      <c r="V110" s="73" t="n"/>
      <c r="W110" s="73" t="n"/>
      <c r="X110" s="73" t="n"/>
    </row>
    <row r="111" ht="75" customHeight="1" s="76">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row>
    <row r="112" ht="75" customHeight="1" s="76">
      <c r="A112" s="73" t="n"/>
      <c r="B112" s="73" t="n"/>
      <c r="C112" s="73" t="n"/>
      <c r="D112" s="73" t="n"/>
      <c r="E112" s="73" t="n"/>
      <c r="F112" s="73" t="n"/>
      <c r="G112" s="73" t="n"/>
      <c r="H112" s="73" t="n"/>
      <c r="I112" s="73" t="n"/>
      <c r="J112" s="73" t="n"/>
      <c r="K112" s="73" t="n"/>
      <c r="L112" s="73" t="n"/>
      <c r="M112" s="73" t="n"/>
      <c r="N112" s="73" t="n"/>
      <c r="O112" s="73" t="n"/>
      <c r="P112" s="73" t="n"/>
      <c r="Q112" s="73" t="n"/>
      <c r="R112" s="73" t="n"/>
      <c r="S112" s="73" t="n"/>
      <c r="T112" s="73" t="n"/>
      <c r="U112" s="73" t="n"/>
      <c r="V112" s="73" t="n"/>
      <c r="W112" s="73" t="n"/>
      <c r="X112" s="73" t="n"/>
    </row>
    <row r="113" ht="75" customHeight="1" s="76">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row>
    <row r="114" ht="75" customHeight="1" s="76">
      <c r="A114" s="73" t="n"/>
      <c r="B114" s="73" t="n"/>
      <c r="C114" s="73" t="n"/>
      <c r="D114" s="73" t="n"/>
      <c r="E114" s="73" t="n"/>
      <c r="F114" s="73" t="n"/>
      <c r="G114" s="73" t="n"/>
      <c r="H114" s="73" t="n"/>
      <c r="I114" s="73" t="n"/>
      <c r="J114" s="73" t="n"/>
      <c r="K114" s="73" t="n"/>
      <c r="L114" s="73" t="n"/>
      <c r="M114" s="73" t="n"/>
      <c r="N114" s="73" t="n"/>
      <c r="O114" s="73" t="n"/>
      <c r="P114" s="73" t="n"/>
      <c r="Q114" s="73" t="n"/>
      <c r="R114" s="73" t="n"/>
      <c r="S114" s="73" t="n"/>
      <c r="T114" s="73" t="n"/>
      <c r="U114" s="73" t="n"/>
      <c r="V114" s="73" t="n"/>
      <c r="W114" s="73" t="n"/>
      <c r="X114" s="73" t="n"/>
    </row>
    <row r="115" ht="75" customHeight="1" s="76">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row>
    <row r="116" ht="75" customHeight="1" s="76">
      <c r="A116" s="73" t="n"/>
      <c r="B116" s="73" t="n"/>
      <c r="C116" s="73" t="n"/>
      <c r="D116" s="73" t="n"/>
      <c r="E116" s="73" t="n"/>
      <c r="F116" s="73" t="n"/>
      <c r="G116" s="73" t="n"/>
      <c r="H116" s="73" t="n"/>
      <c r="I116" s="73" t="n"/>
      <c r="J116" s="73" t="n"/>
      <c r="K116" s="73" t="n"/>
      <c r="L116" s="73" t="n"/>
      <c r="M116" s="73" t="n"/>
      <c r="N116" s="73" t="n"/>
      <c r="O116" s="73" t="n"/>
      <c r="P116" s="73" t="n"/>
      <c r="Q116" s="73" t="n"/>
      <c r="R116" s="73" t="n"/>
      <c r="S116" s="73" t="n"/>
      <c r="T116" s="73" t="n"/>
      <c r="U116" s="73" t="n"/>
      <c r="V116" s="73" t="n"/>
      <c r="W116" s="73" t="n"/>
      <c r="X116" s="73" t="n"/>
    </row>
    <row r="117" ht="75" customHeight="1" s="76">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row>
    <row r="118" ht="75" customHeight="1" s="76">
      <c r="A118" s="73" t="n"/>
      <c r="B118" s="73" t="n"/>
      <c r="C118" s="73" t="n"/>
      <c r="D118" s="73" t="n"/>
      <c r="E118" s="73" t="n"/>
      <c r="F118" s="73" t="n"/>
      <c r="G118" s="73" t="n"/>
      <c r="H118" s="73" t="n"/>
      <c r="I118" s="73" t="n"/>
      <c r="J118" s="73" t="n"/>
      <c r="K118" s="73" t="n"/>
      <c r="L118" s="73" t="n"/>
      <c r="M118" s="73" t="n"/>
      <c r="N118" s="73" t="n"/>
      <c r="O118" s="73" t="n"/>
      <c r="P118" s="73" t="n"/>
      <c r="Q118" s="73" t="n"/>
      <c r="R118" s="73" t="n"/>
      <c r="S118" s="73" t="n"/>
      <c r="T118" s="73" t="n"/>
      <c r="U118" s="73" t="n"/>
      <c r="V118" s="73" t="n"/>
      <c r="W118" s="73" t="n"/>
      <c r="X118" s="73" t="n"/>
    </row>
    <row r="119" ht="75" customHeight="1" s="76">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row>
    <row r="120" ht="75" customHeight="1" s="76">
      <c r="A120" s="73" t="n"/>
      <c r="B120" s="73" t="n"/>
      <c r="C120" s="73" t="n"/>
      <c r="D120" s="73" t="n"/>
      <c r="E120" s="73" t="n"/>
      <c r="F120" s="73" t="n"/>
      <c r="G120" s="73" t="n"/>
      <c r="H120" s="73" t="n"/>
      <c r="I120" s="73" t="n"/>
      <c r="J120" s="73" t="n"/>
      <c r="K120" s="73" t="n"/>
      <c r="L120" s="73" t="n"/>
      <c r="M120" s="73" t="n"/>
      <c r="N120" s="73" t="n"/>
      <c r="O120" s="73" t="n"/>
      <c r="P120" s="73" t="n"/>
      <c r="Q120" s="73" t="n"/>
      <c r="R120" s="73" t="n"/>
      <c r="S120" s="73" t="n"/>
      <c r="T120" s="73" t="n"/>
      <c r="U120" s="73" t="n"/>
      <c r="V120" s="73" t="n"/>
      <c r="W120" s="73" t="n"/>
      <c r="X120" s="73" t="n"/>
    </row>
    <row r="121" ht="75" customHeight="1" s="76">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row>
    <row r="122" ht="75" customHeight="1" s="76">
      <c r="A122" s="73" t="n"/>
      <c r="B122" s="73" t="n"/>
      <c r="C122" s="73" t="n"/>
      <c r="D122" s="73" t="n"/>
      <c r="E122" s="73" t="n"/>
      <c r="F122" s="73" t="n"/>
      <c r="G122" s="73" t="n"/>
      <c r="H122" s="73" t="n"/>
      <c r="I122" s="73" t="n"/>
      <c r="J122" s="73" t="n"/>
      <c r="K122" s="73" t="n"/>
      <c r="L122" s="73" t="n"/>
      <c r="M122" s="73" t="n"/>
      <c r="N122" s="73" t="n"/>
      <c r="O122" s="73" t="n"/>
      <c r="P122" s="73" t="n"/>
      <c r="Q122" s="73" t="n"/>
      <c r="R122" s="73" t="n"/>
      <c r="S122" s="73" t="n"/>
      <c r="T122" s="73" t="n"/>
      <c r="U122" s="73" t="n"/>
      <c r="V122" s="73" t="n"/>
      <c r="W122" s="73" t="n"/>
      <c r="X122" s="73" t="n"/>
    </row>
    <row r="123" ht="75" customHeight="1" s="76">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row>
    <row r="124" ht="75" customHeight="1" s="76">
      <c r="A124" s="73" t="n"/>
      <c r="B124" s="73" t="n"/>
      <c r="C124" s="73" t="n"/>
      <c r="D124" s="73" t="n"/>
      <c r="E124" s="73" t="n"/>
      <c r="F124" s="73" t="n"/>
      <c r="G124" s="73" t="n"/>
      <c r="H124" s="73" t="n"/>
      <c r="I124" s="73" t="n"/>
      <c r="J124" s="73" t="n"/>
      <c r="K124" s="73" t="n"/>
      <c r="L124" s="73" t="n"/>
      <c r="M124" s="73" t="n"/>
      <c r="N124" s="73" t="n"/>
      <c r="O124" s="73" t="n"/>
      <c r="P124" s="73" t="n"/>
      <c r="Q124" s="73" t="n"/>
      <c r="R124" s="73" t="n"/>
      <c r="S124" s="73" t="n"/>
      <c r="T124" s="73" t="n"/>
      <c r="U124" s="73" t="n"/>
      <c r="V124" s="73" t="n"/>
      <c r="W124" s="73" t="n"/>
      <c r="X124" s="73" t="n"/>
    </row>
    <row r="125" ht="75" customHeight="1" s="76">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row>
    <row r="126" ht="75" customHeight="1" s="76">
      <c r="A126" s="73" t="n"/>
      <c r="B126" s="73" t="n"/>
      <c r="C126" s="73" t="n"/>
      <c r="D126" s="73" t="n"/>
      <c r="E126" s="73" t="n"/>
      <c r="F126" s="73" t="n"/>
      <c r="G126" s="73" t="n"/>
      <c r="H126" s="73" t="n"/>
      <c r="I126" s="73" t="n"/>
      <c r="J126" s="73" t="n"/>
      <c r="K126" s="73" t="n"/>
      <c r="L126" s="73" t="n"/>
      <c r="M126" s="73" t="n"/>
      <c r="N126" s="73" t="n"/>
      <c r="O126" s="73" t="n"/>
      <c r="P126" s="73" t="n"/>
      <c r="Q126" s="73" t="n"/>
      <c r="R126" s="73" t="n"/>
      <c r="S126" s="73" t="n"/>
      <c r="T126" s="73" t="n"/>
      <c r="U126" s="73" t="n"/>
      <c r="V126" s="73" t="n"/>
      <c r="W126" s="73" t="n"/>
      <c r="X126" s="73" t="n"/>
    </row>
    <row r="127" ht="75" customHeight="1" s="76">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row>
    <row r="128" ht="75" customHeight="1" s="76">
      <c r="A128" s="73" t="n"/>
      <c r="B128" s="73" t="n"/>
      <c r="C128" s="73" t="n"/>
      <c r="D128" s="73" t="n"/>
      <c r="E128" s="73" t="n"/>
      <c r="F128" s="73" t="n"/>
      <c r="G128" s="73" t="n"/>
      <c r="H128" s="73" t="n"/>
      <c r="I128" s="73" t="n"/>
      <c r="J128" s="73" t="n"/>
      <c r="K128" s="73" t="n"/>
      <c r="L128" s="73" t="n"/>
      <c r="M128" s="73" t="n"/>
      <c r="N128" s="73" t="n"/>
      <c r="O128" s="73" t="n"/>
      <c r="P128" s="73" t="n"/>
      <c r="Q128" s="73" t="n"/>
      <c r="R128" s="73" t="n"/>
      <c r="S128" s="73" t="n"/>
      <c r="T128" s="73" t="n"/>
      <c r="U128" s="73" t="n"/>
      <c r="V128" s="73" t="n"/>
      <c r="W128" s="73" t="n"/>
      <c r="X128" s="73" t="n"/>
    </row>
    <row r="129" ht="75" customHeight="1" s="76">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row>
    <row r="130" ht="75" customHeight="1" s="76">
      <c r="A130" s="73" t="n"/>
      <c r="B130" s="73" t="n"/>
      <c r="C130" s="73" t="n"/>
      <c r="D130" s="73" t="n"/>
      <c r="E130" s="73" t="n"/>
      <c r="F130" s="73" t="n"/>
      <c r="G130" s="73" t="n"/>
      <c r="H130" s="73" t="n"/>
      <c r="I130" s="73" t="n"/>
      <c r="J130" s="73" t="n"/>
      <c r="K130" s="73" t="n"/>
      <c r="L130" s="73" t="n"/>
      <c r="M130" s="73" t="n"/>
      <c r="N130" s="73" t="n"/>
      <c r="O130" s="73" t="n"/>
      <c r="P130" s="73" t="n"/>
      <c r="Q130" s="73" t="n"/>
      <c r="R130" s="73" t="n"/>
      <c r="S130" s="73" t="n"/>
      <c r="T130" s="73" t="n"/>
      <c r="U130" s="73" t="n"/>
      <c r="V130" s="73" t="n"/>
      <c r="W130" s="73" t="n"/>
      <c r="X130" s="73" t="n"/>
    </row>
    <row r="131" ht="75" customHeight="1" s="76">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row>
    <row r="132" ht="75" customHeight="1" s="76">
      <c r="A132" s="73" t="n"/>
      <c r="B132" s="73" t="n"/>
      <c r="C132" s="73" t="n"/>
      <c r="D132" s="73" t="n"/>
      <c r="E132" s="73" t="n"/>
      <c r="F132" s="73" t="n"/>
      <c r="G132" s="73" t="n"/>
      <c r="H132" s="73" t="n"/>
      <c r="I132" s="73" t="n"/>
      <c r="J132" s="73" t="n"/>
      <c r="K132" s="73" t="n"/>
      <c r="L132" s="73" t="n"/>
      <c r="M132" s="73" t="n"/>
      <c r="N132" s="73" t="n"/>
      <c r="O132" s="73" t="n"/>
      <c r="P132" s="73" t="n"/>
      <c r="Q132" s="73" t="n"/>
      <c r="R132" s="73" t="n"/>
      <c r="S132" s="73" t="n"/>
      <c r="T132" s="73" t="n"/>
      <c r="U132" s="73" t="n"/>
      <c r="V132" s="73" t="n"/>
      <c r="W132" s="73" t="n"/>
      <c r="X132" s="73" t="n"/>
    </row>
    <row r="133" ht="75" customHeight="1" s="76">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row>
    <row r="134" ht="75" customHeight="1" s="76">
      <c r="A134" s="73" t="n"/>
      <c r="B134" s="73"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row>
    <row r="135" ht="75" customHeight="1" s="76">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row>
    <row r="136" ht="75" customHeight="1" s="76">
      <c r="A136" s="73" t="n"/>
      <c r="B136" s="73" t="n"/>
      <c r="C136" s="73" t="n"/>
      <c r="D136" s="73" t="n"/>
      <c r="E136" s="73" t="n"/>
      <c r="F136" s="73" t="n"/>
      <c r="G136" s="73" t="n"/>
      <c r="H136" s="73" t="n"/>
      <c r="I136" s="73" t="n"/>
      <c r="J136" s="73" t="n"/>
      <c r="K136" s="73" t="n"/>
      <c r="L136" s="73" t="n"/>
      <c r="M136" s="73" t="n"/>
      <c r="N136" s="73" t="n"/>
      <c r="O136" s="73" t="n"/>
      <c r="P136" s="73" t="n"/>
      <c r="Q136" s="73" t="n"/>
      <c r="R136" s="73" t="n"/>
      <c r="S136" s="73" t="n"/>
      <c r="T136" s="73" t="n"/>
      <c r="U136" s="73" t="n"/>
      <c r="V136" s="73" t="n"/>
      <c r="W136" s="73" t="n"/>
      <c r="X136" s="73" t="n"/>
    </row>
    <row r="137" ht="75" customHeight="1" s="76">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row>
    <row r="138" ht="75" customHeight="1" s="76">
      <c r="A138" s="73" t="n"/>
      <c r="B138" s="73" t="n"/>
      <c r="C138" s="73" t="n"/>
      <c r="D138" s="73" t="n"/>
      <c r="E138" s="73" t="n"/>
      <c r="F138" s="73" t="n"/>
      <c r="G138" s="73" t="n"/>
      <c r="H138" s="73" t="n"/>
      <c r="I138" s="73" t="n"/>
      <c r="J138" s="73" t="n"/>
      <c r="K138" s="73" t="n"/>
      <c r="L138" s="73" t="n"/>
      <c r="M138" s="73" t="n"/>
      <c r="N138" s="73" t="n"/>
      <c r="O138" s="73" t="n"/>
      <c r="P138" s="73" t="n"/>
      <c r="Q138" s="73" t="n"/>
      <c r="R138" s="73" t="n"/>
      <c r="S138" s="73" t="n"/>
      <c r="T138" s="73" t="n"/>
      <c r="U138" s="73" t="n"/>
      <c r="V138" s="73" t="n"/>
      <c r="W138" s="73" t="n"/>
      <c r="X138" s="73" t="n"/>
    </row>
    <row r="139" ht="75" customHeight="1" s="76">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row>
    <row r="140" ht="75" customHeight="1" s="76">
      <c r="A140" s="73" t="n"/>
      <c r="B140" s="73" t="n"/>
      <c r="C140" s="73" t="n"/>
      <c r="D140" s="73" t="n"/>
      <c r="E140" s="73" t="n"/>
      <c r="F140" s="73" t="n"/>
      <c r="G140" s="73" t="n"/>
      <c r="H140" s="73" t="n"/>
      <c r="I140" s="73" t="n"/>
      <c r="J140" s="73" t="n"/>
      <c r="K140" s="73" t="n"/>
      <c r="L140" s="73" t="n"/>
      <c r="M140" s="73" t="n"/>
      <c r="N140" s="73" t="n"/>
      <c r="O140" s="73" t="n"/>
      <c r="P140" s="73" t="n"/>
      <c r="Q140" s="73" t="n"/>
      <c r="R140" s="73" t="n"/>
      <c r="S140" s="73" t="n"/>
      <c r="T140" s="73" t="n"/>
      <c r="U140" s="73" t="n"/>
      <c r="V140" s="73" t="n"/>
      <c r="W140" s="73" t="n"/>
      <c r="X140" s="73" t="n"/>
    </row>
    <row r="141" ht="75" customHeight="1" s="76">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row>
    <row r="142" ht="75" customHeight="1" s="76">
      <c r="A142" s="73" t="n"/>
      <c r="B142" s="73" t="n"/>
      <c r="C142" s="73" t="n"/>
      <c r="D142" s="73" t="n"/>
      <c r="E142" s="73" t="n"/>
      <c r="F142" s="73" t="n"/>
      <c r="G142" s="73" t="n"/>
      <c r="H142" s="73" t="n"/>
      <c r="I142" s="73" t="n"/>
      <c r="J142" s="73" t="n"/>
      <c r="K142" s="73" t="n"/>
      <c r="L142" s="73" t="n"/>
      <c r="M142" s="73" t="n"/>
      <c r="N142" s="73" t="n"/>
      <c r="O142" s="73" t="n"/>
      <c r="P142" s="73" t="n"/>
      <c r="Q142" s="73" t="n"/>
      <c r="R142" s="73" t="n"/>
      <c r="S142" s="73" t="n"/>
      <c r="T142" s="73" t="n"/>
      <c r="U142" s="73" t="n"/>
      <c r="V142" s="73" t="n"/>
      <c r="W142" s="73" t="n"/>
      <c r="X142" s="73" t="n"/>
    </row>
    <row r="143" ht="75" customHeight="1" s="76">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row>
    <row r="144" ht="75" customHeight="1" s="76">
      <c r="A144" s="73" t="n"/>
      <c r="B144" s="73" t="n"/>
      <c r="C144" s="73" t="n"/>
      <c r="D144" s="73" t="n"/>
      <c r="E144" s="73" t="n"/>
      <c r="F144" s="73" t="n"/>
      <c r="G144" s="73" t="n"/>
      <c r="H144" s="73" t="n"/>
      <c r="I144" s="73" t="n"/>
      <c r="J144" s="73" t="n"/>
      <c r="K144" s="73" t="n"/>
      <c r="L144" s="73" t="n"/>
      <c r="M144" s="73" t="n"/>
      <c r="N144" s="73" t="n"/>
      <c r="O144" s="73" t="n"/>
      <c r="P144" s="73" t="n"/>
      <c r="Q144" s="73" t="n"/>
      <c r="R144" s="73" t="n"/>
      <c r="S144" s="73" t="n"/>
      <c r="T144" s="73" t="n"/>
      <c r="U144" s="73" t="n"/>
      <c r="V144" s="73" t="n"/>
      <c r="W144" s="73" t="n"/>
      <c r="X144" s="73" t="n"/>
    </row>
    <row r="145" ht="75" customHeight="1" s="76">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row>
    <row r="146" ht="75" customHeight="1" s="76">
      <c r="A146" s="73" t="n"/>
      <c r="B146" s="73" t="n"/>
      <c r="C146" s="73" t="n"/>
      <c r="D146" s="73" t="n"/>
      <c r="E146" s="73" t="n"/>
      <c r="F146" s="73" t="n"/>
      <c r="G146" s="73" t="n"/>
      <c r="H146" s="73" t="n"/>
      <c r="I146" s="73" t="n"/>
      <c r="J146" s="73" t="n"/>
      <c r="K146" s="73" t="n"/>
      <c r="L146" s="73" t="n"/>
      <c r="M146" s="73" t="n"/>
      <c r="N146" s="73" t="n"/>
      <c r="O146" s="73" t="n"/>
      <c r="P146" s="73" t="n"/>
      <c r="Q146" s="73" t="n"/>
      <c r="R146" s="73" t="n"/>
      <c r="S146" s="73" t="n"/>
      <c r="T146" s="73" t="n"/>
      <c r="U146" s="73" t="n"/>
      <c r="V146" s="73" t="n"/>
      <c r="W146" s="73" t="n"/>
      <c r="X146" s="73" t="n"/>
    </row>
    <row r="147" ht="75" customHeight="1" s="76">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row>
    <row r="148" ht="75" customHeight="1" s="76">
      <c r="A148" s="73" t="n"/>
      <c r="B148" s="73" t="n"/>
      <c r="C148" s="73" t="n"/>
      <c r="D148" s="73" t="n"/>
      <c r="E148" s="73" t="n"/>
      <c r="F148" s="73" t="n"/>
      <c r="G148" s="73" t="n"/>
      <c r="H148" s="73" t="n"/>
      <c r="I148" s="73" t="n"/>
      <c r="J148" s="73" t="n"/>
      <c r="K148" s="73" t="n"/>
      <c r="L148" s="73" t="n"/>
      <c r="M148" s="73" t="n"/>
      <c r="N148" s="73" t="n"/>
      <c r="O148" s="73" t="n"/>
      <c r="P148" s="73" t="n"/>
      <c r="Q148" s="73" t="n"/>
      <c r="R148" s="73" t="n"/>
      <c r="S148" s="73" t="n"/>
      <c r="T148" s="73" t="n"/>
      <c r="U148" s="73" t="n"/>
      <c r="V148" s="73" t="n"/>
      <c r="W148" s="73" t="n"/>
      <c r="X148" s="73" t="n"/>
    </row>
    <row r="149" ht="75" customHeight="1" s="76">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row>
    <row r="150" ht="75" customHeight="1" s="76">
      <c r="A150" s="73" t="n"/>
      <c r="B150" s="73" t="n"/>
      <c r="C150" s="73" t="n"/>
      <c r="D150" s="73" t="n"/>
      <c r="E150" s="73" t="n"/>
      <c r="F150" s="73" t="n"/>
      <c r="G150" s="73" t="n"/>
      <c r="H150" s="73" t="n"/>
      <c r="I150" s="73" t="n"/>
      <c r="J150" s="73" t="n"/>
      <c r="K150" s="73" t="n"/>
      <c r="L150" s="73" t="n"/>
      <c r="M150" s="73" t="n"/>
      <c r="N150" s="73" t="n"/>
      <c r="O150" s="73" t="n"/>
      <c r="P150" s="73" t="n"/>
      <c r="Q150" s="73" t="n"/>
      <c r="R150" s="73" t="n"/>
      <c r="S150" s="73" t="n"/>
      <c r="T150" s="73" t="n"/>
      <c r="U150" s="73" t="n"/>
      <c r="V150" s="73" t="n"/>
      <c r="W150" s="73" t="n"/>
      <c r="X150" s="73" t="n"/>
    </row>
    <row r="151" ht="75" customHeight="1" s="76">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row>
    <row r="152" ht="75" customHeight="1" s="76">
      <c r="A152" s="73" t="n"/>
      <c r="B152" s="73" t="n"/>
      <c r="C152" s="73" t="n"/>
      <c r="D152" s="73" t="n"/>
      <c r="E152" s="73" t="n"/>
      <c r="F152" s="73" t="n"/>
      <c r="G152" s="73" t="n"/>
      <c r="H152" s="73" t="n"/>
      <c r="I152" s="73" t="n"/>
      <c r="J152" s="73" t="n"/>
      <c r="K152" s="73" t="n"/>
      <c r="L152" s="73" t="n"/>
      <c r="M152" s="73" t="n"/>
      <c r="N152" s="73" t="n"/>
      <c r="O152" s="73" t="n"/>
      <c r="P152" s="73" t="n"/>
      <c r="Q152" s="73" t="n"/>
      <c r="R152" s="73" t="n"/>
      <c r="S152" s="73" t="n"/>
      <c r="T152" s="73" t="n"/>
      <c r="U152" s="73" t="n"/>
      <c r="V152" s="73" t="n"/>
      <c r="W152" s="73" t="n"/>
      <c r="X152" s="73" t="n"/>
    </row>
    <row r="153" ht="75" customHeight="1" s="76">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row>
    <row r="154" ht="75" customHeight="1" s="76">
      <c r="A154" s="73" t="n"/>
      <c r="B154" s="73" t="n"/>
      <c r="C154" s="73" t="n"/>
      <c r="D154" s="73" t="n"/>
      <c r="E154" s="73" t="n"/>
      <c r="F154" s="73" t="n"/>
      <c r="G154" s="73" t="n"/>
      <c r="H154" s="73" t="n"/>
      <c r="I154" s="73" t="n"/>
      <c r="J154" s="73" t="n"/>
      <c r="K154" s="73" t="n"/>
      <c r="L154" s="73" t="n"/>
      <c r="M154" s="73" t="n"/>
      <c r="N154" s="73" t="n"/>
      <c r="O154" s="73" t="n"/>
      <c r="P154" s="73" t="n"/>
      <c r="Q154" s="73" t="n"/>
      <c r="R154" s="73" t="n"/>
      <c r="S154" s="73" t="n"/>
      <c r="T154" s="73" t="n"/>
      <c r="U154" s="73" t="n"/>
      <c r="V154" s="73" t="n"/>
      <c r="W154" s="73" t="n"/>
      <c r="X154" s="73" t="n"/>
    </row>
    <row r="155" ht="75" customHeight="1" s="76">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row>
    <row r="156" ht="75" customHeight="1" s="76">
      <c r="A156" s="73" t="n"/>
      <c r="B156" s="73" t="n"/>
      <c r="C156" s="73" t="n"/>
      <c r="D156" s="73" t="n"/>
      <c r="E156" s="73" t="n"/>
      <c r="F156" s="73" t="n"/>
      <c r="G156" s="73" t="n"/>
      <c r="H156" s="73" t="n"/>
      <c r="I156" s="73" t="n"/>
      <c r="J156" s="73" t="n"/>
      <c r="K156" s="73" t="n"/>
      <c r="L156" s="73" t="n"/>
      <c r="M156" s="73" t="n"/>
      <c r="N156" s="73" t="n"/>
      <c r="O156" s="73" t="n"/>
      <c r="P156" s="73" t="n"/>
      <c r="Q156" s="73" t="n"/>
      <c r="R156" s="73" t="n"/>
      <c r="S156" s="73" t="n"/>
      <c r="T156" s="73" t="n"/>
      <c r="U156" s="73" t="n"/>
      <c r="V156" s="73" t="n"/>
      <c r="W156" s="73" t="n"/>
      <c r="X156" s="73" t="n"/>
    </row>
    <row r="157" ht="75" customHeight="1" s="76">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row>
    <row r="158" ht="75" customHeight="1" s="76">
      <c r="A158" s="73" t="n"/>
      <c r="B158" s="73" t="n"/>
      <c r="C158" s="73" t="n"/>
      <c r="D158" s="73" t="n"/>
      <c r="E158" s="73" t="n"/>
      <c r="F158" s="73" t="n"/>
      <c r="G158" s="73" t="n"/>
      <c r="H158" s="73" t="n"/>
      <c r="I158" s="73" t="n"/>
      <c r="J158" s="73" t="n"/>
      <c r="K158" s="73" t="n"/>
      <c r="L158" s="73" t="n"/>
      <c r="M158" s="73" t="n"/>
      <c r="N158" s="73" t="n"/>
      <c r="O158" s="73" t="n"/>
      <c r="P158" s="73" t="n"/>
      <c r="Q158" s="73" t="n"/>
      <c r="R158" s="73" t="n"/>
      <c r="S158" s="73" t="n"/>
      <c r="T158" s="73" t="n"/>
      <c r="U158" s="73" t="n"/>
      <c r="V158" s="73" t="n"/>
      <c r="W158" s="73" t="n"/>
      <c r="X158" s="73" t="n"/>
    </row>
    <row r="159" ht="75" customHeight="1" s="76">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row>
    <row r="160" ht="75" customHeight="1" s="76">
      <c r="A160" s="73" t="n"/>
      <c r="B160" s="73" t="n"/>
      <c r="C160" s="73" t="n"/>
      <c r="D160" s="73" t="n"/>
      <c r="E160" s="73" t="n"/>
      <c r="F160" s="73" t="n"/>
      <c r="G160" s="73" t="n"/>
      <c r="H160" s="73" t="n"/>
      <c r="I160" s="73" t="n"/>
      <c r="J160" s="73" t="n"/>
      <c r="K160" s="73" t="n"/>
      <c r="L160" s="73" t="n"/>
      <c r="M160" s="73" t="n"/>
      <c r="N160" s="73" t="n"/>
      <c r="O160" s="73" t="n"/>
      <c r="P160" s="73" t="n"/>
      <c r="Q160" s="73" t="n"/>
      <c r="R160" s="73" t="n"/>
      <c r="S160" s="73" t="n"/>
      <c r="T160" s="73" t="n"/>
      <c r="U160" s="73" t="n"/>
      <c r="V160" s="73" t="n"/>
      <c r="W160" s="73" t="n"/>
      <c r="X160" s="73" t="n"/>
    </row>
    <row r="161" ht="75" customHeight="1" s="76">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row>
    <row r="162" ht="75" customHeight="1" s="76">
      <c r="A162" s="73" t="n"/>
      <c r="B162" s="73" t="n"/>
      <c r="C162" s="73" t="n"/>
      <c r="D162" s="73" t="n"/>
      <c r="E162" s="73" t="n"/>
      <c r="F162" s="73" t="n"/>
      <c r="G162" s="73" t="n"/>
      <c r="H162" s="73" t="n"/>
      <c r="I162" s="73" t="n"/>
      <c r="J162" s="73" t="n"/>
      <c r="K162" s="73" t="n"/>
      <c r="L162" s="73" t="n"/>
      <c r="M162" s="73" t="n"/>
      <c r="N162" s="73" t="n"/>
      <c r="O162" s="73" t="n"/>
      <c r="P162" s="73" t="n"/>
      <c r="Q162" s="73" t="n"/>
      <c r="R162" s="73" t="n"/>
      <c r="S162" s="73" t="n"/>
      <c r="T162" s="73" t="n"/>
      <c r="U162" s="73" t="n"/>
      <c r="V162" s="73" t="n"/>
      <c r="W162" s="73" t="n"/>
      <c r="X162" s="73" t="n"/>
    </row>
    <row r="163" ht="75" customHeight="1" s="76">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row>
    <row r="164" ht="75" customHeight="1" s="76">
      <c r="A164" s="73" t="n"/>
      <c r="B164" s="73" t="n"/>
      <c r="C164" s="73" t="n"/>
      <c r="D164" s="73" t="n"/>
      <c r="E164" s="73" t="n"/>
      <c r="F164" s="73" t="n"/>
      <c r="G164" s="73" t="n"/>
      <c r="H164" s="73" t="n"/>
      <c r="I164" s="73" t="n"/>
      <c r="J164" s="73" t="n"/>
      <c r="K164" s="73" t="n"/>
      <c r="L164" s="73" t="n"/>
      <c r="M164" s="73" t="n"/>
      <c r="N164" s="73" t="n"/>
      <c r="O164" s="73" t="n"/>
      <c r="P164" s="73" t="n"/>
      <c r="Q164" s="73" t="n"/>
      <c r="R164" s="73" t="n"/>
      <c r="S164" s="73" t="n"/>
      <c r="T164" s="73" t="n"/>
      <c r="U164" s="73" t="n"/>
      <c r="V164" s="73" t="n"/>
      <c r="W164" s="73" t="n"/>
      <c r="X164" s="73" t="n"/>
    </row>
    <row r="165" ht="75" customHeight="1" s="76">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row>
    <row r="166" ht="75" customHeight="1" s="76">
      <c r="A166" s="73" t="n"/>
      <c r="B166" s="73" t="n"/>
      <c r="C166" s="73" t="n"/>
      <c r="D166" s="73" t="n"/>
      <c r="E166" s="73" t="n"/>
      <c r="F166" s="73" t="n"/>
      <c r="G166" s="73" t="n"/>
      <c r="H166" s="73" t="n"/>
      <c r="I166" s="73" t="n"/>
      <c r="J166" s="73" t="n"/>
      <c r="K166" s="73" t="n"/>
      <c r="L166" s="73" t="n"/>
      <c r="M166" s="73" t="n"/>
      <c r="N166" s="73" t="n"/>
      <c r="O166" s="73" t="n"/>
      <c r="P166" s="73" t="n"/>
      <c r="Q166" s="73" t="n"/>
      <c r="R166" s="73" t="n"/>
      <c r="S166" s="73" t="n"/>
      <c r="T166" s="73" t="n"/>
      <c r="U166" s="73" t="n"/>
      <c r="V166" s="73" t="n"/>
      <c r="W166" s="73" t="n"/>
      <c r="X166" s="73" t="n"/>
    </row>
    <row r="167" ht="75" customHeight="1" s="76">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row>
    <row r="168" ht="75" customHeight="1" s="76">
      <c r="A168" s="73" t="n"/>
      <c r="B168" s="73" t="n"/>
      <c r="C168" s="73" t="n"/>
      <c r="D168" s="73" t="n"/>
      <c r="E168" s="73" t="n"/>
      <c r="F168" s="73" t="n"/>
      <c r="G168" s="73" t="n"/>
      <c r="H168" s="73" t="n"/>
      <c r="I168" s="73" t="n"/>
      <c r="J168" s="73" t="n"/>
      <c r="K168" s="73" t="n"/>
      <c r="L168" s="73" t="n"/>
      <c r="M168" s="73" t="n"/>
      <c r="N168" s="73" t="n"/>
      <c r="O168" s="73" t="n"/>
      <c r="P168" s="73" t="n"/>
      <c r="Q168" s="73" t="n"/>
      <c r="R168" s="73" t="n"/>
      <c r="S168" s="73" t="n"/>
      <c r="T168" s="73" t="n"/>
      <c r="U168" s="73" t="n"/>
      <c r="V168" s="73" t="n"/>
      <c r="W168" s="73" t="n"/>
      <c r="X168" s="73" t="n"/>
    </row>
    <row r="169" ht="75" customHeight="1" s="76">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row>
    <row r="170" ht="75" customHeight="1" s="76">
      <c r="A170" s="73" t="n"/>
      <c r="B170" s="73" t="n"/>
      <c r="C170" s="73" t="n"/>
      <c r="D170" s="73" t="n"/>
      <c r="E170" s="73" t="n"/>
      <c r="F170" s="73" t="n"/>
      <c r="G170" s="73" t="n"/>
      <c r="H170" s="73" t="n"/>
      <c r="I170" s="73" t="n"/>
      <c r="J170" s="73" t="n"/>
      <c r="K170" s="73" t="n"/>
      <c r="L170" s="73" t="n"/>
      <c r="M170" s="73" t="n"/>
      <c r="N170" s="73" t="n"/>
      <c r="O170" s="73" t="n"/>
      <c r="P170" s="73" t="n"/>
      <c r="Q170" s="73" t="n"/>
      <c r="R170" s="73" t="n"/>
      <c r="S170" s="73" t="n"/>
      <c r="T170" s="73" t="n"/>
      <c r="U170" s="73" t="n"/>
      <c r="V170" s="73" t="n"/>
      <c r="W170" s="73" t="n"/>
      <c r="X170" s="73" t="n"/>
    </row>
    <row r="171" ht="75" customHeight="1" s="76">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row>
    <row r="172" ht="75" customHeight="1" s="76">
      <c r="A172" s="73" t="n"/>
      <c r="B172" s="73" t="n"/>
      <c r="C172" s="73" t="n"/>
      <c r="D172" s="73" t="n"/>
      <c r="E172" s="73" t="n"/>
      <c r="F172" s="73" t="n"/>
      <c r="G172" s="73" t="n"/>
      <c r="H172" s="73" t="n"/>
      <c r="I172" s="73" t="n"/>
      <c r="J172" s="73" t="n"/>
      <c r="K172" s="73" t="n"/>
      <c r="L172" s="73" t="n"/>
      <c r="M172" s="73" t="n"/>
      <c r="N172" s="73" t="n"/>
      <c r="O172" s="73" t="n"/>
      <c r="P172" s="73" t="n"/>
      <c r="Q172" s="73" t="n"/>
      <c r="R172" s="73" t="n"/>
      <c r="S172" s="73" t="n"/>
      <c r="T172" s="73" t="n"/>
      <c r="U172" s="73" t="n"/>
      <c r="V172" s="73" t="n"/>
      <c r="W172" s="73" t="n"/>
      <c r="X172" s="73" t="n"/>
    </row>
    <row r="173" ht="75" customHeight="1" s="76">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row>
    <row r="174" ht="75" customHeight="1" s="76">
      <c r="A174" s="73" t="n"/>
      <c r="B174" s="73" t="n"/>
      <c r="C174" s="73" t="n"/>
      <c r="D174" s="73" t="n"/>
      <c r="E174" s="73" t="n"/>
      <c r="F174" s="73" t="n"/>
      <c r="G174" s="73" t="n"/>
      <c r="H174" s="73" t="n"/>
      <c r="I174" s="73" t="n"/>
      <c r="J174" s="73" t="n"/>
      <c r="K174" s="73" t="n"/>
      <c r="L174" s="73" t="n"/>
      <c r="M174" s="73" t="n"/>
      <c r="N174" s="73" t="n"/>
      <c r="O174" s="73" t="n"/>
      <c r="P174" s="73" t="n"/>
      <c r="Q174" s="73" t="n"/>
      <c r="R174" s="73" t="n"/>
      <c r="S174" s="73" t="n"/>
      <c r="T174" s="73" t="n"/>
      <c r="U174" s="73" t="n"/>
      <c r="V174" s="73" t="n"/>
      <c r="W174" s="73" t="n"/>
      <c r="X174" s="73" t="n"/>
    </row>
    <row r="175" ht="75" customHeight="1" s="76">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row>
    <row r="176" ht="75" customHeight="1" s="76">
      <c r="A176" s="73" t="n"/>
      <c r="B176" s="73" t="n"/>
      <c r="C176" s="73" t="n"/>
      <c r="D176" s="73" t="n"/>
      <c r="E176" s="73" t="n"/>
      <c r="F176" s="73" t="n"/>
      <c r="G176" s="73" t="n"/>
      <c r="H176" s="73" t="n"/>
      <c r="I176" s="73" t="n"/>
      <c r="J176" s="73" t="n"/>
      <c r="K176" s="73" t="n"/>
      <c r="L176" s="73" t="n"/>
      <c r="M176" s="73" t="n"/>
      <c r="N176" s="73" t="n"/>
      <c r="O176" s="73" t="n"/>
      <c r="P176" s="73" t="n"/>
      <c r="Q176" s="73" t="n"/>
      <c r="R176" s="73" t="n"/>
      <c r="S176" s="73" t="n"/>
      <c r="T176" s="73" t="n"/>
      <c r="U176" s="73" t="n"/>
      <c r="V176" s="73" t="n"/>
      <c r="W176" s="73" t="n"/>
      <c r="X176" s="73" t="n"/>
    </row>
    <row r="177" ht="75" customHeight="1" s="76">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row>
    <row r="178" ht="75" customHeight="1" s="76">
      <c r="A178" s="73" t="n"/>
      <c r="B178" s="73" t="n"/>
      <c r="C178" s="73" t="n"/>
      <c r="D178" s="73" t="n"/>
      <c r="E178" s="73" t="n"/>
      <c r="F178" s="73" t="n"/>
      <c r="G178" s="73" t="n"/>
      <c r="H178" s="73" t="n"/>
      <c r="I178" s="73" t="n"/>
      <c r="J178" s="73" t="n"/>
      <c r="K178" s="73" t="n"/>
      <c r="L178" s="73" t="n"/>
      <c r="M178" s="73" t="n"/>
      <c r="N178" s="73" t="n"/>
      <c r="O178" s="73" t="n"/>
      <c r="P178" s="73" t="n"/>
      <c r="Q178" s="73" t="n"/>
      <c r="R178" s="73" t="n"/>
      <c r="S178" s="73" t="n"/>
      <c r="T178" s="73" t="n"/>
      <c r="U178" s="73" t="n"/>
      <c r="V178" s="73" t="n"/>
      <c r="W178" s="73" t="n"/>
      <c r="X178" s="73" t="n"/>
    </row>
    <row r="179" ht="75" customHeight="1" s="76">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row>
    <row r="180" ht="75" customHeight="1" s="76">
      <c r="A180" s="73" t="n"/>
      <c r="B180" s="73" t="n"/>
      <c r="C180" s="73" t="n"/>
      <c r="D180" s="73" t="n"/>
      <c r="E180" s="73" t="n"/>
      <c r="F180" s="73" t="n"/>
      <c r="G180" s="73" t="n"/>
      <c r="H180" s="73" t="n"/>
      <c r="I180" s="73" t="n"/>
      <c r="J180" s="73" t="n"/>
      <c r="K180" s="73" t="n"/>
      <c r="L180" s="73" t="n"/>
      <c r="M180" s="73" t="n"/>
      <c r="N180" s="73" t="n"/>
      <c r="O180" s="73" t="n"/>
      <c r="P180" s="73" t="n"/>
      <c r="Q180" s="73" t="n"/>
      <c r="R180" s="73" t="n"/>
      <c r="S180" s="73" t="n"/>
      <c r="T180" s="73" t="n"/>
      <c r="U180" s="73" t="n"/>
      <c r="V180" s="73" t="n"/>
      <c r="W180" s="73" t="n"/>
      <c r="X180" s="73" t="n"/>
    </row>
    <row r="181" ht="75" customHeight="1" s="76">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row>
    <row r="182" ht="75" customHeight="1" s="76">
      <c r="A182" s="73" t="n"/>
      <c r="B182" s="73" t="n"/>
      <c r="C182" s="73" t="n"/>
      <c r="D182" s="73" t="n"/>
      <c r="E182" s="73" t="n"/>
      <c r="F182" s="73" t="n"/>
      <c r="G182" s="73" t="n"/>
      <c r="H182" s="73" t="n"/>
      <c r="I182" s="73" t="n"/>
      <c r="J182" s="73" t="n"/>
      <c r="K182" s="73" t="n"/>
      <c r="L182" s="73" t="n"/>
      <c r="M182" s="73" t="n"/>
      <c r="N182" s="73" t="n"/>
      <c r="O182" s="73" t="n"/>
      <c r="P182" s="73" t="n"/>
      <c r="Q182" s="73" t="n"/>
      <c r="R182" s="73" t="n"/>
      <c r="S182" s="73" t="n"/>
      <c r="T182" s="73" t="n"/>
      <c r="U182" s="73" t="n"/>
      <c r="V182" s="73" t="n"/>
      <c r="W182" s="73" t="n"/>
      <c r="X182" s="73" t="n"/>
    </row>
    <row r="183" ht="75" customHeight="1" s="76">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row>
    <row r="184" ht="75" customHeight="1" s="76">
      <c r="A184" s="73" t="n"/>
      <c r="B184" s="73" t="n"/>
      <c r="C184" s="73" t="n"/>
      <c r="D184" s="73" t="n"/>
      <c r="E184" s="73" t="n"/>
      <c r="F184" s="73" t="n"/>
      <c r="G184" s="73" t="n"/>
      <c r="H184" s="73" t="n"/>
      <c r="I184" s="73" t="n"/>
      <c r="J184" s="73" t="n"/>
      <c r="K184" s="73" t="n"/>
      <c r="L184" s="73" t="n"/>
      <c r="M184" s="73" t="n"/>
      <c r="N184" s="73" t="n"/>
      <c r="O184" s="73" t="n"/>
      <c r="P184" s="73" t="n"/>
      <c r="Q184" s="73" t="n"/>
      <c r="R184" s="73" t="n"/>
      <c r="S184" s="73" t="n"/>
      <c r="T184" s="73" t="n"/>
      <c r="U184" s="73" t="n"/>
      <c r="V184" s="73" t="n"/>
      <c r="W184" s="73" t="n"/>
      <c r="X184" s="73" t="n"/>
    </row>
    <row r="185" ht="75" customHeight="1" s="76">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row>
    <row r="186" ht="75" customHeight="1" s="76">
      <c r="A186" s="73" t="n"/>
      <c r="B186" s="73" t="n"/>
      <c r="C186" s="73" t="n"/>
      <c r="D186" s="73" t="n"/>
      <c r="E186" s="73" t="n"/>
      <c r="F186" s="73" t="n"/>
      <c r="G186" s="73" t="n"/>
      <c r="H186" s="73" t="n"/>
      <c r="I186" s="73" t="n"/>
      <c r="J186" s="73" t="n"/>
      <c r="K186" s="73" t="n"/>
      <c r="L186" s="73" t="n"/>
      <c r="M186" s="73" t="n"/>
      <c r="N186" s="73" t="n"/>
      <c r="O186" s="73" t="n"/>
      <c r="P186" s="73" t="n"/>
      <c r="Q186" s="73" t="n"/>
      <c r="R186" s="73" t="n"/>
      <c r="S186" s="73" t="n"/>
      <c r="T186" s="73" t="n"/>
      <c r="U186" s="73" t="n"/>
      <c r="V186" s="73" t="n"/>
      <c r="W186" s="73" t="n"/>
      <c r="X186" s="73" t="n"/>
    </row>
    <row r="187" ht="75" customHeight="1" s="76">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row>
    <row r="188" ht="75" customHeight="1" s="76">
      <c r="A188" s="73" t="n"/>
      <c r="B188" s="73" t="n"/>
      <c r="C188" s="73" t="n"/>
      <c r="D188" s="73" t="n"/>
      <c r="E188" s="73" t="n"/>
      <c r="F188" s="73" t="n"/>
      <c r="G188" s="73" t="n"/>
      <c r="H188" s="73" t="n"/>
      <c r="I188" s="73" t="n"/>
      <c r="J188" s="73" t="n"/>
      <c r="K188" s="73" t="n"/>
      <c r="L188" s="73" t="n"/>
      <c r="M188" s="73" t="n"/>
      <c r="N188" s="73" t="n"/>
      <c r="O188" s="73" t="n"/>
      <c r="P188" s="73" t="n"/>
      <c r="Q188" s="73" t="n"/>
      <c r="R188" s="73" t="n"/>
      <c r="S188" s="73" t="n"/>
      <c r="T188" s="73" t="n"/>
      <c r="U188" s="73" t="n"/>
      <c r="V188" s="73" t="n"/>
      <c r="W188" s="73" t="n"/>
      <c r="X188" s="73" t="n"/>
    </row>
    <row r="189" ht="75" customHeight="1" s="76">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row>
    <row r="190" ht="75" customHeight="1" s="76">
      <c r="A190" s="73" t="n"/>
      <c r="B190" s="73" t="n"/>
      <c r="C190" s="73" t="n"/>
      <c r="D190" s="73" t="n"/>
      <c r="E190" s="73" t="n"/>
      <c r="F190" s="73" t="n"/>
      <c r="G190" s="73" t="n"/>
      <c r="H190" s="73" t="n"/>
      <c r="I190" s="73" t="n"/>
      <c r="J190" s="73" t="n"/>
      <c r="K190" s="73" t="n"/>
      <c r="L190" s="73" t="n"/>
      <c r="M190" s="73" t="n"/>
      <c r="N190" s="73" t="n"/>
      <c r="O190" s="73" t="n"/>
      <c r="P190" s="73" t="n"/>
      <c r="Q190" s="73" t="n"/>
      <c r="R190" s="73" t="n"/>
      <c r="S190" s="73" t="n"/>
      <c r="T190" s="73" t="n"/>
      <c r="U190" s="73" t="n"/>
      <c r="V190" s="73" t="n"/>
      <c r="W190" s="73" t="n"/>
      <c r="X190" s="73" t="n"/>
    </row>
    <row r="191" ht="75" customHeight="1" s="76">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row>
    <row r="192" ht="75" customHeight="1" s="76">
      <c r="A192" s="73" t="n"/>
      <c r="B192" s="73" t="n"/>
      <c r="C192" s="73" t="n"/>
      <c r="D192" s="73" t="n"/>
      <c r="E192" s="73" t="n"/>
      <c r="F192" s="73" t="n"/>
      <c r="G192" s="73" t="n"/>
      <c r="H192" s="73" t="n"/>
      <c r="I192" s="73" t="n"/>
      <c r="J192" s="73" t="n"/>
      <c r="K192" s="73" t="n"/>
      <c r="L192" s="73" t="n"/>
      <c r="M192" s="73" t="n"/>
      <c r="N192" s="73" t="n"/>
      <c r="O192" s="73" t="n"/>
      <c r="P192" s="73" t="n"/>
      <c r="Q192" s="73" t="n"/>
      <c r="R192" s="73" t="n"/>
      <c r="S192" s="73" t="n"/>
      <c r="T192" s="73" t="n"/>
      <c r="U192" s="73" t="n"/>
      <c r="V192" s="73" t="n"/>
      <c r="W192" s="73" t="n"/>
      <c r="X192" s="73" t="n"/>
    </row>
    <row r="193" ht="75" customHeight="1" s="76">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row>
    <row r="194" ht="75" customHeight="1" s="76">
      <c r="A194" s="73" t="n"/>
      <c r="B194" s="73" t="n"/>
      <c r="C194" s="73" t="n"/>
      <c r="D194" s="73" t="n"/>
      <c r="E194" s="73" t="n"/>
      <c r="F194" s="73" t="n"/>
      <c r="G194" s="73" t="n"/>
      <c r="H194" s="73" t="n"/>
      <c r="I194" s="73" t="n"/>
      <c r="J194" s="73" t="n"/>
      <c r="K194" s="73" t="n"/>
      <c r="L194" s="73" t="n"/>
      <c r="M194" s="73" t="n"/>
      <c r="N194" s="73" t="n"/>
      <c r="O194" s="73" t="n"/>
      <c r="P194" s="73" t="n"/>
      <c r="Q194" s="73" t="n"/>
      <c r="R194" s="73" t="n"/>
      <c r="S194" s="73" t="n"/>
      <c r="T194" s="73" t="n"/>
      <c r="U194" s="73" t="n"/>
      <c r="V194" s="73" t="n"/>
      <c r="W194" s="73" t="n"/>
      <c r="X194" s="73" t="n"/>
    </row>
    <row r="195" ht="75" customHeight="1" s="76">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row>
    <row r="196" ht="75" customHeight="1" s="76">
      <c r="A196" s="73" t="n"/>
      <c r="B196" s="73" t="n"/>
      <c r="C196" s="73" t="n"/>
      <c r="D196" s="73" t="n"/>
      <c r="E196" s="73" t="n"/>
      <c r="F196" s="73" t="n"/>
      <c r="G196" s="73" t="n"/>
      <c r="H196" s="73" t="n"/>
      <c r="I196" s="73" t="n"/>
      <c r="J196" s="73" t="n"/>
      <c r="K196" s="73" t="n"/>
      <c r="L196" s="73" t="n"/>
      <c r="M196" s="73" t="n"/>
      <c r="N196" s="73" t="n"/>
      <c r="O196" s="73" t="n"/>
      <c r="P196" s="73" t="n"/>
      <c r="Q196" s="73" t="n"/>
      <c r="R196" s="73" t="n"/>
      <c r="S196" s="73" t="n"/>
      <c r="T196" s="73" t="n"/>
      <c r="U196" s="73" t="n"/>
      <c r="V196" s="73" t="n"/>
      <c r="W196" s="73" t="n"/>
      <c r="X196" s="73" t="n"/>
    </row>
    <row r="197" ht="75" customHeight="1" s="76">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row>
    <row r="198" ht="75" customHeight="1" s="76">
      <c r="A198" s="73" t="n"/>
      <c r="B198" s="73" t="n"/>
      <c r="C198" s="73" t="n"/>
      <c r="D198" s="73" t="n"/>
      <c r="E198" s="73" t="n"/>
      <c r="F198" s="73" t="n"/>
      <c r="G198" s="73" t="n"/>
      <c r="H198" s="73" t="n"/>
      <c r="I198" s="73" t="n"/>
      <c r="J198" s="73" t="n"/>
      <c r="K198" s="73" t="n"/>
      <c r="L198" s="73" t="n"/>
      <c r="M198" s="73" t="n"/>
      <c r="N198" s="73" t="n"/>
      <c r="O198" s="73" t="n"/>
      <c r="P198" s="73" t="n"/>
      <c r="Q198" s="73" t="n"/>
      <c r="R198" s="73" t="n"/>
      <c r="S198" s="73" t="n"/>
      <c r="T198" s="73" t="n"/>
      <c r="U198" s="73" t="n"/>
      <c r="V198" s="73" t="n"/>
      <c r="W198" s="73" t="n"/>
      <c r="X198" s="73" t="n"/>
    </row>
    <row r="199" ht="75" customHeight="1" s="76">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row>
    <row r="200" ht="75" customHeight="1" s="76">
      <c r="A200" s="73" t="n"/>
      <c r="B200" s="73" t="n"/>
      <c r="C200" s="73" t="n"/>
      <c r="D200" s="73" t="n"/>
      <c r="E200" s="73" t="n"/>
      <c r="F200" s="73" t="n"/>
      <c r="G200" s="73" t="n"/>
      <c r="H200" s="73" t="n"/>
      <c r="I200" s="73" t="n"/>
      <c r="J200" s="73" t="n"/>
      <c r="K200" s="73" t="n"/>
      <c r="L200" s="73" t="n"/>
      <c r="M200" s="73" t="n"/>
      <c r="N200" s="73" t="n"/>
      <c r="O200" s="73" t="n"/>
      <c r="P200" s="73" t="n"/>
      <c r="Q200" s="73" t="n"/>
      <c r="R200" s="73" t="n"/>
      <c r="S200" s="73" t="n"/>
      <c r="T200" s="73" t="n"/>
      <c r="U200" s="73" t="n"/>
      <c r="V200" s="73" t="n"/>
      <c r="W200" s="73" t="n"/>
      <c r="X200" s="73" t="n"/>
    </row>
    <row r="201" ht="75" customHeight="1" s="76">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row>
    <row r="202" ht="75" customHeight="1" s="76">
      <c r="A202" s="73" t="n"/>
      <c r="B202" s="73" t="n"/>
      <c r="C202" s="73" t="n"/>
      <c r="D202" s="73" t="n"/>
      <c r="E202" s="73" t="n"/>
      <c r="F202" s="73" t="n"/>
      <c r="G202" s="73" t="n"/>
      <c r="H202" s="73" t="n"/>
      <c r="I202" s="73" t="n"/>
      <c r="J202" s="73" t="n"/>
      <c r="K202" s="73" t="n"/>
      <c r="L202" s="73" t="n"/>
      <c r="M202" s="73" t="n"/>
      <c r="N202" s="73" t="n"/>
      <c r="O202" s="73" t="n"/>
      <c r="P202" s="73" t="n"/>
      <c r="Q202" s="73" t="n"/>
      <c r="R202" s="73" t="n"/>
      <c r="S202" s="73" t="n"/>
      <c r="T202" s="73" t="n"/>
      <c r="U202" s="73" t="n"/>
      <c r="V202" s="73" t="n"/>
      <c r="W202" s="73" t="n"/>
      <c r="X202" s="73" t="n"/>
    </row>
    <row r="203" ht="75" customHeight="1" s="76">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row>
    <row r="204" ht="75" customHeight="1" s="76">
      <c r="A204" s="73" t="n"/>
      <c r="B204" s="73" t="n"/>
      <c r="C204" s="73" t="n"/>
      <c r="D204" s="73" t="n"/>
      <c r="E204" s="73" t="n"/>
      <c r="F204" s="73" t="n"/>
      <c r="G204" s="73" t="n"/>
      <c r="H204" s="73" t="n"/>
      <c r="I204" s="73" t="n"/>
      <c r="J204" s="73" t="n"/>
      <c r="K204" s="73" t="n"/>
      <c r="L204" s="73" t="n"/>
      <c r="M204" s="73" t="n"/>
      <c r="N204" s="73" t="n"/>
      <c r="O204" s="73" t="n"/>
      <c r="P204" s="73" t="n"/>
      <c r="Q204" s="73" t="n"/>
      <c r="R204" s="73" t="n"/>
      <c r="S204" s="73" t="n"/>
      <c r="T204" s="73" t="n"/>
      <c r="U204" s="73" t="n"/>
      <c r="V204" s="73" t="n"/>
      <c r="W204" s="73" t="n"/>
      <c r="X204" s="73" t="n"/>
    </row>
    <row r="205" ht="75" customHeight="1" s="76">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row>
    <row r="206" ht="75" customHeight="1" s="76">
      <c r="A206" s="73" t="n"/>
      <c r="B206" s="73" t="n"/>
      <c r="C206" s="73" t="n"/>
      <c r="D206" s="73" t="n"/>
      <c r="E206" s="73" t="n"/>
      <c r="F206" s="73" t="n"/>
      <c r="G206" s="73" t="n"/>
      <c r="H206" s="73" t="n"/>
      <c r="I206" s="73" t="n"/>
      <c r="J206" s="73" t="n"/>
      <c r="K206" s="73" t="n"/>
      <c r="L206" s="73" t="n"/>
      <c r="M206" s="73" t="n"/>
      <c r="N206" s="73" t="n"/>
      <c r="O206" s="73" t="n"/>
      <c r="P206" s="73" t="n"/>
      <c r="Q206" s="73" t="n"/>
      <c r="R206" s="73" t="n"/>
      <c r="S206" s="73" t="n"/>
      <c r="T206" s="73" t="n"/>
      <c r="U206" s="73" t="n"/>
      <c r="V206" s="73" t="n"/>
      <c r="W206" s="73" t="n"/>
      <c r="X206" s="73" t="n"/>
    </row>
    <row r="207" ht="75" customHeight="1" s="76">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row>
    <row r="208" ht="75" customHeight="1" s="76">
      <c r="A208" s="73" t="n"/>
      <c r="B208" s="73" t="n"/>
      <c r="C208" s="73" t="n"/>
      <c r="D208" s="73" t="n"/>
      <c r="E208" s="73" t="n"/>
      <c r="F208" s="73" t="n"/>
      <c r="G208" s="73" t="n"/>
      <c r="H208" s="73" t="n"/>
      <c r="I208" s="73" t="n"/>
      <c r="J208" s="73" t="n"/>
      <c r="K208" s="73" t="n"/>
      <c r="L208" s="73" t="n"/>
      <c r="M208" s="73" t="n"/>
      <c r="N208" s="73" t="n"/>
      <c r="O208" s="73" t="n"/>
      <c r="P208" s="73" t="n"/>
      <c r="Q208" s="73" t="n"/>
      <c r="R208" s="73" t="n"/>
      <c r="S208" s="73" t="n"/>
      <c r="T208" s="73" t="n"/>
      <c r="U208" s="73" t="n"/>
      <c r="V208" s="73" t="n"/>
      <c r="W208" s="73" t="n"/>
      <c r="X208" s="73" t="n"/>
    </row>
    <row r="209" ht="75" customHeight="1" s="76">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row>
    <row r="210" ht="75" customHeight="1" s="76">
      <c r="A210" s="73" t="n"/>
      <c r="B210" s="73" t="n"/>
      <c r="C210" s="73" t="n"/>
      <c r="D210" s="73" t="n"/>
      <c r="E210" s="73" t="n"/>
      <c r="F210" s="73" t="n"/>
      <c r="G210" s="73" t="n"/>
      <c r="H210" s="73" t="n"/>
      <c r="I210" s="73" t="n"/>
      <c r="J210" s="73" t="n"/>
      <c r="K210" s="73" t="n"/>
      <c r="L210" s="73" t="n"/>
      <c r="M210" s="73" t="n"/>
      <c r="N210" s="73" t="n"/>
      <c r="O210" s="73" t="n"/>
      <c r="P210" s="73" t="n"/>
      <c r="Q210" s="73" t="n"/>
      <c r="R210" s="73" t="n"/>
      <c r="S210" s="73" t="n"/>
      <c r="T210" s="73" t="n"/>
      <c r="U210" s="73" t="n"/>
      <c r="V210" s="73" t="n"/>
      <c r="W210" s="73" t="n"/>
      <c r="X210" s="73" t="n"/>
    </row>
    <row r="211" ht="75" customHeight="1" s="76">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row>
    <row r="212" ht="75" customHeight="1" s="76">
      <c r="A212" s="73" t="n"/>
      <c r="B212" s="73" t="n"/>
      <c r="C212" s="73" t="n"/>
      <c r="D212" s="73" t="n"/>
      <c r="E212" s="73" t="n"/>
      <c r="F212" s="73" t="n"/>
      <c r="G212" s="73" t="n"/>
      <c r="H212" s="73" t="n"/>
      <c r="I212" s="73" t="n"/>
      <c r="J212" s="73" t="n"/>
      <c r="K212" s="73" t="n"/>
      <c r="L212" s="73" t="n"/>
      <c r="M212" s="73" t="n"/>
      <c r="N212" s="73" t="n"/>
      <c r="O212" s="73" t="n"/>
      <c r="P212" s="73" t="n"/>
      <c r="Q212" s="73" t="n"/>
      <c r="R212" s="73" t="n"/>
      <c r="S212" s="73" t="n"/>
      <c r="T212" s="73" t="n"/>
      <c r="U212" s="73" t="n"/>
      <c r="V212" s="73" t="n"/>
      <c r="W212" s="73" t="n"/>
      <c r="X212" s="73" t="n"/>
    </row>
    <row r="213" ht="75" customHeight="1" s="76">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row>
    <row r="214" ht="75" customHeight="1" s="76">
      <c r="A214" s="73" t="n"/>
      <c r="B214" s="73" t="n"/>
      <c r="C214" s="73" t="n"/>
      <c r="D214" s="73" t="n"/>
      <c r="E214" s="73" t="n"/>
      <c r="F214" s="73" t="n"/>
      <c r="G214" s="73" t="n"/>
      <c r="H214" s="73" t="n"/>
      <c r="I214" s="73" t="n"/>
      <c r="J214" s="73" t="n"/>
      <c r="K214" s="73" t="n"/>
      <c r="L214" s="73" t="n"/>
      <c r="M214" s="73" t="n"/>
      <c r="N214" s="73" t="n"/>
      <c r="O214" s="73" t="n"/>
      <c r="P214" s="73" t="n"/>
      <c r="Q214" s="73" t="n"/>
      <c r="R214" s="73" t="n"/>
      <c r="S214" s="73" t="n"/>
      <c r="T214" s="73" t="n"/>
      <c r="U214" s="73" t="n"/>
      <c r="V214" s="73" t="n"/>
      <c r="W214" s="73" t="n"/>
      <c r="X214" s="73" t="n"/>
    </row>
    <row r="215" ht="75" customHeight="1" s="76">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row>
    <row r="216" ht="75" customHeight="1" s="76">
      <c r="A216" s="73" t="n"/>
      <c r="B216" s="73" t="n"/>
      <c r="C216" s="73" t="n"/>
      <c r="D216" s="73" t="n"/>
      <c r="E216" s="73" t="n"/>
      <c r="F216" s="73" t="n"/>
      <c r="G216" s="73" t="n"/>
      <c r="H216" s="73" t="n"/>
      <c r="I216" s="73" t="n"/>
      <c r="J216" s="73" t="n"/>
      <c r="K216" s="73" t="n"/>
      <c r="L216" s="73" t="n"/>
      <c r="M216" s="73" t="n"/>
      <c r="N216" s="73" t="n"/>
      <c r="O216" s="73" t="n"/>
      <c r="P216" s="73" t="n"/>
      <c r="Q216" s="73" t="n"/>
      <c r="R216" s="73" t="n"/>
      <c r="S216" s="73" t="n"/>
      <c r="T216" s="73" t="n"/>
      <c r="U216" s="73" t="n"/>
      <c r="V216" s="73" t="n"/>
      <c r="W216" s="73" t="n"/>
      <c r="X216" s="73" t="n"/>
    </row>
    <row r="217" ht="75" customHeight="1" s="76">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row>
    <row r="218" ht="75" customHeight="1" s="76">
      <c r="A218" s="73" t="n"/>
      <c r="B218" s="73" t="n"/>
      <c r="C218" s="73" t="n"/>
      <c r="D218" s="73" t="n"/>
      <c r="E218" s="73" t="n"/>
      <c r="F218" s="73" t="n"/>
      <c r="G218" s="73" t="n"/>
      <c r="H218" s="73" t="n"/>
      <c r="I218" s="73" t="n"/>
      <c r="J218" s="73" t="n"/>
      <c r="K218" s="73" t="n"/>
      <c r="L218" s="73" t="n"/>
      <c r="M218" s="73" t="n"/>
      <c r="N218" s="73" t="n"/>
      <c r="O218" s="73" t="n"/>
      <c r="P218" s="73" t="n"/>
      <c r="Q218" s="73" t="n"/>
      <c r="R218" s="73" t="n"/>
      <c r="S218" s="73" t="n"/>
      <c r="T218" s="73" t="n"/>
      <c r="U218" s="73" t="n"/>
      <c r="V218" s="73" t="n"/>
      <c r="W218" s="73" t="n"/>
      <c r="X218" s="73" t="n"/>
    </row>
    <row r="219" ht="75" customHeight="1" s="76">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row>
    <row r="220" ht="75" customHeight="1" s="76">
      <c r="A220" s="73" t="n"/>
      <c r="B220" s="73" t="n"/>
      <c r="C220" s="73" t="n"/>
      <c r="D220" s="73" t="n"/>
      <c r="E220" s="73" t="n"/>
      <c r="F220" s="73" t="n"/>
      <c r="G220" s="73" t="n"/>
      <c r="H220" s="73" t="n"/>
      <c r="I220" s="73" t="n"/>
      <c r="J220" s="73" t="n"/>
      <c r="K220" s="73" t="n"/>
      <c r="L220" s="73" t="n"/>
      <c r="M220" s="73" t="n"/>
      <c r="N220" s="73" t="n"/>
      <c r="O220" s="73" t="n"/>
      <c r="P220" s="73" t="n"/>
      <c r="Q220" s="73" t="n"/>
      <c r="R220" s="73" t="n"/>
      <c r="S220" s="73" t="n"/>
      <c r="T220" s="73" t="n"/>
      <c r="U220" s="73" t="n"/>
      <c r="V220" s="73" t="n"/>
      <c r="W220" s="73" t="n"/>
      <c r="X220" s="73" t="n"/>
    </row>
    <row r="221" ht="75" customHeight="1" s="76">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row>
    <row r="222" ht="75" customHeight="1" s="76">
      <c r="A222" s="73" t="n"/>
      <c r="B222" s="73" t="n"/>
      <c r="C222" s="73" t="n"/>
      <c r="D222" s="73" t="n"/>
      <c r="E222" s="73" t="n"/>
      <c r="F222" s="73" t="n"/>
      <c r="G222" s="73" t="n"/>
      <c r="H222" s="73" t="n"/>
      <c r="I222" s="73" t="n"/>
      <c r="J222" s="73" t="n"/>
      <c r="K222" s="73" t="n"/>
      <c r="L222" s="73" t="n"/>
      <c r="M222" s="73" t="n"/>
      <c r="N222" s="73" t="n"/>
      <c r="O222" s="73" t="n"/>
      <c r="P222" s="73" t="n"/>
      <c r="Q222" s="73" t="n"/>
      <c r="R222" s="73" t="n"/>
      <c r="S222" s="73" t="n"/>
      <c r="T222" s="73" t="n"/>
      <c r="U222" s="73" t="n"/>
      <c r="V222" s="73" t="n"/>
      <c r="W222" s="73" t="n"/>
      <c r="X222" s="73" t="n"/>
    </row>
    <row r="223" ht="75" customHeight="1" s="76">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row>
    <row r="224" ht="75" customHeight="1" s="76">
      <c r="A224" s="73" t="n"/>
      <c r="B224" s="73" t="n"/>
      <c r="C224" s="73" t="n"/>
      <c r="D224" s="73" t="n"/>
      <c r="E224" s="73" t="n"/>
      <c r="F224" s="73" t="n"/>
      <c r="G224" s="73" t="n"/>
      <c r="H224" s="73" t="n"/>
      <c r="I224" s="73" t="n"/>
      <c r="J224" s="73" t="n"/>
      <c r="K224" s="73" t="n"/>
      <c r="L224" s="73" t="n"/>
      <c r="M224" s="73" t="n"/>
      <c r="N224" s="73" t="n"/>
      <c r="O224" s="73" t="n"/>
      <c r="P224" s="73" t="n"/>
      <c r="Q224" s="73" t="n"/>
      <c r="R224" s="73" t="n"/>
      <c r="S224" s="73" t="n"/>
      <c r="T224" s="73" t="n"/>
      <c r="U224" s="73" t="n"/>
      <c r="V224" s="73" t="n"/>
      <c r="W224" s="73" t="n"/>
      <c r="X224" s="73" t="n"/>
    </row>
    <row r="225" ht="75" customHeight="1" s="76">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row>
    <row r="226" ht="75" customHeight="1" s="76">
      <c r="A226" s="73" t="n"/>
      <c r="B226" s="73" t="n"/>
      <c r="C226" s="73" t="n"/>
      <c r="D226" s="73" t="n"/>
      <c r="E226" s="73" t="n"/>
      <c r="F226" s="73" t="n"/>
      <c r="G226" s="73" t="n"/>
      <c r="H226" s="73" t="n"/>
      <c r="I226" s="73" t="n"/>
      <c r="J226" s="73" t="n"/>
      <c r="K226" s="73" t="n"/>
      <c r="L226" s="73" t="n"/>
      <c r="M226" s="73" t="n"/>
      <c r="N226" s="73" t="n"/>
      <c r="O226" s="73" t="n"/>
      <c r="P226" s="73" t="n"/>
      <c r="Q226" s="73" t="n"/>
      <c r="R226" s="73" t="n"/>
      <c r="S226" s="73" t="n"/>
      <c r="T226" s="73" t="n"/>
      <c r="U226" s="73" t="n"/>
      <c r="V226" s="73" t="n"/>
      <c r="W226" s="73" t="n"/>
      <c r="X226" s="73" t="n"/>
    </row>
    <row r="227" ht="75" customHeight="1" s="76">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row>
    <row r="228" ht="75" customHeight="1" s="76">
      <c r="A228" s="73" t="n"/>
      <c r="B228" s="73" t="n"/>
      <c r="C228" s="73" t="n"/>
      <c r="D228" s="73" t="n"/>
      <c r="E228" s="73" t="n"/>
      <c r="F228" s="73" t="n"/>
      <c r="G228" s="73" t="n"/>
      <c r="H228" s="73" t="n"/>
      <c r="I228" s="73" t="n"/>
      <c r="J228" s="73" t="n"/>
      <c r="K228" s="73" t="n"/>
      <c r="L228" s="73" t="n"/>
      <c r="M228" s="73" t="n"/>
      <c r="N228" s="73" t="n"/>
      <c r="O228" s="73" t="n"/>
      <c r="P228" s="73" t="n"/>
      <c r="Q228" s="73" t="n"/>
      <c r="R228" s="73" t="n"/>
      <c r="S228" s="73" t="n"/>
      <c r="T228" s="73" t="n"/>
      <c r="U228" s="73" t="n"/>
      <c r="V228" s="73" t="n"/>
      <c r="W228" s="73" t="n"/>
      <c r="X228" s="73" t="n"/>
    </row>
    <row r="229" ht="75" customHeight="1" s="76">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row>
    <row r="230" ht="75" customHeight="1" s="76">
      <c r="A230" s="73" t="n"/>
      <c r="B230" s="73" t="n"/>
      <c r="C230" s="73" t="n"/>
      <c r="D230" s="73" t="n"/>
      <c r="E230" s="73" t="n"/>
      <c r="F230" s="73" t="n"/>
      <c r="G230" s="73" t="n"/>
      <c r="H230" s="73" t="n"/>
      <c r="I230" s="73" t="n"/>
      <c r="J230" s="73" t="n"/>
      <c r="K230" s="73" t="n"/>
      <c r="L230" s="73" t="n"/>
      <c r="M230" s="73" t="n"/>
      <c r="N230" s="73" t="n"/>
      <c r="O230" s="73" t="n"/>
      <c r="P230" s="73" t="n"/>
      <c r="Q230" s="73" t="n"/>
      <c r="R230" s="73" t="n"/>
      <c r="S230" s="73" t="n"/>
      <c r="T230" s="73" t="n"/>
      <c r="U230" s="73" t="n"/>
      <c r="V230" s="73" t="n"/>
      <c r="W230" s="73" t="n"/>
      <c r="X230" s="73" t="n"/>
    </row>
    <row r="231" ht="75" customHeight="1" s="76">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row>
    <row r="232" ht="75" customHeight="1" s="76">
      <c r="A232" s="73" t="n"/>
      <c r="B232" s="73" t="n"/>
      <c r="C232" s="73" t="n"/>
      <c r="D232" s="73" t="n"/>
      <c r="E232" s="73" t="n"/>
      <c r="F232" s="73" t="n"/>
      <c r="G232" s="73" t="n"/>
      <c r="H232" s="73" t="n"/>
      <c r="I232" s="73" t="n"/>
      <c r="J232" s="73" t="n"/>
      <c r="K232" s="73" t="n"/>
      <c r="L232" s="73" t="n"/>
      <c r="M232" s="73" t="n"/>
      <c r="N232" s="73" t="n"/>
      <c r="O232" s="73" t="n"/>
      <c r="P232" s="73" t="n"/>
      <c r="Q232" s="73" t="n"/>
      <c r="R232" s="73" t="n"/>
      <c r="S232" s="73" t="n"/>
      <c r="T232" s="73" t="n"/>
      <c r="U232" s="73" t="n"/>
      <c r="V232" s="73" t="n"/>
      <c r="W232" s="73" t="n"/>
      <c r="X232" s="73" t="n"/>
    </row>
    <row r="233" ht="75" customHeight="1" s="76">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row>
    <row r="234" ht="75" customHeight="1" s="76">
      <c r="A234" s="73" t="n"/>
      <c r="B234" s="73" t="n"/>
      <c r="C234" s="73" t="n"/>
      <c r="D234" s="73" t="n"/>
      <c r="E234" s="73" t="n"/>
      <c r="F234" s="73" t="n"/>
      <c r="G234" s="73" t="n"/>
      <c r="H234" s="73" t="n"/>
      <c r="I234" s="73" t="n"/>
      <c r="J234" s="73" t="n"/>
      <c r="K234" s="73" t="n"/>
      <c r="L234" s="73" t="n"/>
      <c r="M234" s="73" t="n"/>
      <c r="N234" s="73" t="n"/>
      <c r="O234" s="73" t="n"/>
      <c r="P234" s="73" t="n"/>
      <c r="Q234" s="73" t="n"/>
      <c r="R234" s="73" t="n"/>
      <c r="S234" s="73" t="n"/>
      <c r="T234" s="73" t="n"/>
      <c r="U234" s="73" t="n"/>
      <c r="V234" s="73" t="n"/>
      <c r="W234" s="73" t="n"/>
      <c r="X234" s="73" t="n"/>
    </row>
    <row r="235" ht="75" customHeight="1" s="76">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row>
    <row r="236" ht="75" customHeight="1" s="76">
      <c r="A236" s="73" t="n"/>
      <c r="B236" s="73" t="n"/>
      <c r="C236" s="73" t="n"/>
      <c r="D236" s="73" t="n"/>
      <c r="E236" s="73" t="n"/>
      <c r="F236" s="73" t="n"/>
      <c r="G236" s="73" t="n"/>
      <c r="H236" s="73" t="n"/>
      <c r="I236" s="73" t="n"/>
      <c r="J236" s="73" t="n"/>
      <c r="K236" s="73" t="n"/>
      <c r="L236" s="73" t="n"/>
      <c r="M236" s="73" t="n"/>
      <c r="N236" s="73" t="n"/>
      <c r="O236" s="73" t="n"/>
      <c r="P236" s="73" t="n"/>
      <c r="Q236" s="73" t="n"/>
      <c r="R236" s="73" t="n"/>
      <c r="S236" s="73" t="n"/>
      <c r="T236" s="73" t="n"/>
      <c r="U236" s="73" t="n"/>
      <c r="V236" s="73" t="n"/>
      <c r="W236" s="73" t="n"/>
      <c r="X236" s="73" t="n"/>
    </row>
    <row r="237" ht="75" customHeight="1" s="76">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row>
    <row r="238" ht="75" customHeight="1" s="76">
      <c r="A238" s="73" t="n"/>
      <c r="B238" s="73" t="n"/>
      <c r="C238" s="73" t="n"/>
      <c r="D238" s="73" t="n"/>
      <c r="E238" s="73" t="n"/>
      <c r="F238" s="73" t="n"/>
      <c r="G238" s="73" t="n"/>
      <c r="H238" s="73" t="n"/>
      <c r="I238" s="73" t="n"/>
      <c r="J238" s="73" t="n"/>
      <c r="K238" s="73" t="n"/>
      <c r="L238" s="73" t="n"/>
      <c r="M238" s="73" t="n"/>
      <c r="N238" s="73" t="n"/>
      <c r="O238" s="73" t="n"/>
      <c r="P238" s="73" t="n"/>
      <c r="Q238" s="73" t="n"/>
      <c r="R238" s="73" t="n"/>
      <c r="S238" s="73" t="n"/>
      <c r="T238" s="73" t="n"/>
      <c r="U238" s="73" t="n"/>
      <c r="V238" s="73" t="n"/>
      <c r="W238" s="73" t="n"/>
      <c r="X238" s="73" t="n"/>
    </row>
    <row r="239" ht="75" customHeight="1" s="76">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row>
    <row r="240" ht="75" customHeight="1" s="76">
      <c r="A240" s="73" t="n"/>
      <c r="B240" s="73" t="n"/>
      <c r="C240" s="73" t="n"/>
      <c r="D240" s="73" t="n"/>
      <c r="E240" s="73" t="n"/>
      <c r="F240" s="73" t="n"/>
      <c r="G240" s="73" t="n"/>
      <c r="H240" s="73" t="n"/>
      <c r="I240" s="73" t="n"/>
      <c r="J240" s="73" t="n"/>
      <c r="K240" s="73" t="n"/>
      <c r="L240" s="73" t="n"/>
      <c r="M240" s="73" t="n"/>
      <c r="N240" s="73" t="n"/>
      <c r="O240" s="73" t="n"/>
      <c r="P240" s="73" t="n"/>
      <c r="Q240" s="73" t="n"/>
      <c r="R240" s="73" t="n"/>
      <c r="S240" s="73" t="n"/>
      <c r="T240" s="73" t="n"/>
      <c r="U240" s="73" t="n"/>
      <c r="V240" s="73" t="n"/>
      <c r="W240" s="73" t="n"/>
      <c r="X240" s="73" t="n"/>
    </row>
    <row r="241" ht="75" customHeight="1" s="76">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row>
    <row r="242" ht="75" customHeight="1" s="76">
      <c r="A242" s="73" t="n"/>
      <c r="B242" s="73" t="n"/>
      <c r="C242" s="73" t="n"/>
      <c r="D242" s="73" t="n"/>
      <c r="E242" s="73" t="n"/>
      <c r="F242" s="73" t="n"/>
      <c r="G242" s="73" t="n"/>
      <c r="H242" s="73" t="n"/>
      <c r="I242" s="73" t="n"/>
      <c r="J242" s="73" t="n"/>
      <c r="K242" s="73" t="n"/>
      <c r="L242" s="73" t="n"/>
      <c r="M242" s="73" t="n"/>
      <c r="N242" s="73" t="n"/>
      <c r="O242" s="73" t="n"/>
      <c r="P242" s="73" t="n"/>
      <c r="Q242" s="73" t="n"/>
      <c r="R242" s="73" t="n"/>
      <c r="S242" s="73" t="n"/>
      <c r="T242" s="73" t="n"/>
      <c r="U242" s="73" t="n"/>
      <c r="V242" s="73" t="n"/>
      <c r="W242" s="73" t="n"/>
      <c r="X242" s="73" t="n"/>
    </row>
    <row r="243" ht="75" customHeight="1" s="76">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row>
    <row r="244" ht="75" customHeight="1" s="76">
      <c r="A244" s="73" t="n"/>
      <c r="B244" s="73" t="n"/>
      <c r="C244" s="73" t="n"/>
      <c r="D244" s="73" t="n"/>
      <c r="E244" s="73" t="n"/>
      <c r="F244" s="73" t="n"/>
      <c r="G244" s="73" t="n"/>
      <c r="H244" s="73" t="n"/>
      <c r="I244" s="73" t="n"/>
      <c r="J244" s="73" t="n"/>
      <c r="K244" s="73" t="n"/>
      <c r="L244" s="73" t="n"/>
      <c r="M244" s="73" t="n"/>
      <c r="N244" s="73" t="n"/>
      <c r="O244" s="73" t="n"/>
      <c r="P244" s="73" t="n"/>
      <c r="Q244" s="73" t="n"/>
      <c r="R244" s="73" t="n"/>
      <c r="S244" s="73" t="n"/>
      <c r="T244" s="73" t="n"/>
      <c r="U244" s="73" t="n"/>
      <c r="V244" s="73" t="n"/>
      <c r="W244" s="73" t="n"/>
      <c r="X244" s="73" t="n"/>
    </row>
    <row r="245" ht="75" customHeight="1" s="76">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row>
    <row r="246" ht="75" customHeight="1" s="76">
      <c r="A246" s="73" t="n"/>
      <c r="B246" s="73" t="n"/>
      <c r="C246" s="73" t="n"/>
      <c r="D246" s="73" t="n"/>
      <c r="E246" s="73" t="n"/>
      <c r="F246" s="73" t="n"/>
      <c r="G246" s="73" t="n"/>
      <c r="H246" s="73" t="n"/>
      <c r="I246" s="73" t="n"/>
      <c r="J246" s="73" t="n"/>
      <c r="K246" s="73" t="n"/>
      <c r="L246" s="73" t="n"/>
      <c r="M246" s="73" t="n"/>
      <c r="N246" s="73" t="n"/>
      <c r="O246" s="73" t="n"/>
      <c r="P246" s="73" t="n"/>
      <c r="Q246" s="73" t="n"/>
      <c r="R246" s="73" t="n"/>
      <c r="S246" s="73" t="n"/>
      <c r="T246" s="73" t="n"/>
      <c r="U246" s="73" t="n"/>
      <c r="V246" s="73" t="n"/>
      <c r="W246" s="73" t="n"/>
      <c r="X246" s="73" t="n"/>
    </row>
    <row r="247" ht="75" customHeight="1" s="76">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row>
    <row r="248" ht="75" customHeight="1" s="76">
      <c r="A248" s="73" t="n"/>
      <c r="B248" s="73" t="n"/>
      <c r="C248" s="73" t="n"/>
      <c r="D248" s="73" t="n"/>
      <c r="E248" s="73" t="n"/>
      <c r="F248" s="73" t="n"/>
      <c r="G248" s="73" t="n"/>
      <c r="H248" s="73" t="n"/>
      <c r="I248" s="73" t="n"/>
      <c r="J248" s="73" t="n"/>
      <c r="K248" s="73" t="n"/>
      <c r="L248" s="73" t="n"/>
      <c r="M248" s="73" t="n"/>
      <c r="N248" s="73" t="n"/>
      <c r="O248" s="73" t="n"/>
      <c r="P248" s="73" t="n"/>
      <c r="Q248" s="73" t="n"/>
      <c r="R248" s="73" t="n"/>
      <c r="S248" s="73" t="n"/>
      <c r="T248" s="73" t="n"/>
      <c r="U248" s="73" t="n"/>
      <c r="V248" s="73" t="n"/>
      <c r="W248" s="73" t="n"/>
      <c r="X248" s="73" t="n"/>
    </row>
    <row r="249" ht="75" customHeight="1" s="76">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row>
    <row r="250" ht="75" customHeight="1" s="76">
      <c r="A250" s="73" t="n"/>
      <c r="B250" s="73" t="n"/>
      <c r="C250" s="73" t="n"/>
      <c r="D250" s="73" t="n"/>
      <c r="E250" s="73" t="n"/>
      <c r="F250" s="73" t="n"/>
      <c r="G250" s="73" t="n"/>
      <c r="H250" s="73" t="n"/>
      <c r="I250" s="73" t="n"/>
      <c r="J250" s="73" t="n"/>
      <c r="K250" s="73" t="n"/>
      <c r="L250" s="73" t="n"/>
      <c r="M250" s="73" t="n"/>
      <c r="N250" s="73" t="n"/>
      <c r="O250" s="73" t="n"/>
      <c r="P250" s="73" t="n"/>
      <c r="Q250" s="73" t="n"/>
      <c r="R250" s="73" t="n"/>
      <c r="S250" s="73" t="n"/>
      <c r="T250" s="73" t="n"/>
      <c r="U250" s="73" t="n"/>
      <c r="V250" s="73" t="n"/>
      <c r="W250" s="73" t="n"/>
      <c r="X250" s="73" t="n"/>
    </row>
    <row r="251" ht="75" customHeight="1" s="76">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row>
    <row r="252" ht="75" customHeight="1" s="76">
      <c r="A252" s="73" t="n"/>
      <c r="B252" s="73" t="n"/>
      <c r="C252" s="73" t="n"/>
      <c r="D252" s="73" t="n"/>
      <c r="E252" s="73" t="n"/>
      <c r="F252" s="73" t="n"/>
      <c r="G252" s="73" t="n"/>
      <c r="H252" s="73" t="n"/>
      <c r="I252" s="73" t="n"/>
      <c r="J252" s="73" t="n"/>
      <c r="K252" s="73" t="n"/>
      <c r="L252" s="73" t="n"/>
      <c r="M252" s="73" t="n"/>
      <c r="N252" s="73" t="n"/>
      <c r="O252" s="73" t="n"/>
      <c r="P252" s="73" t="n"/>
      <c r="Q252" s="73" t="n"/>
      <c r="R252" s="73" t="n"/>
      <c r="S252" s="73" t="n"/>
      <c r="T252" s="73" t="n"/>
      <c r="U252" s="73" t="n"/>
      <c r="V252" s="73" t="n"/>
      <c r="W252" s="73" t="n"/>
      <c r="X252" s="73" t="n"/>
    </row>
    <row r="253" ht="75" customHeight="1" s="76">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row>
    <row r="254" ht="75" customHeight="1" s="76">
      <c r="A254" s="73" t="n"/>
      <c r="B254" s="73" t="n"/>
      <c r="C254" s="73" t="n"/>
      <c r="D254" s="73" t="n"/>
      <c r="E254" s="73" t="n"/>
      <c r="F254" s="73" t="n"/>
      <c r="G254" s="73" t="n"/>
      <c r="H254" s="73" t="n"/>
      <c r="I254" s="73" t="n"/>
      <c r="J254" s="73" t="n"/>
      <c r="K254" s="73" t="n"/>
      <c r="L254" s="73" t="n"/>
      <c r="M254" s="73" t="n"/>
      <c r="N254" s="73" t="n"/>
      <c r="O254" s="73" t="n"/>
      <c r="P254" s="73" t="n"/>
      <c r="Q254" s="73" t="n"/>
      <c r="R254" s="73" t="n"/>
      <c r="S254" s="73" t="n"/>
      <c r="T254" s="73" t="n"/>
      <c r="U254" s="73" t="n"/>
      <c r="V254" s="73" t="n"/>
      <c r="W254" s="73" t="n"/>
      <c r="X254" s="73" t="n"/>
    </row>
    <row r="255" ht="75" customHeight="1" s="76">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row>
    <row r="256" ht="75" customHeight="1" s="76">
      <c r="A256" s="73" t="n"/>
      <c r="B256" s="73" t="n"/>
      <c r="C256" s="73" t="n"/>
      <c r="D256" s="73" t="n"/>
      <c r="E256" s="73" t="n"/>
      <c r="F256" s="73" t="n"/>
      <c r="G256" s="73" t="n"/>
      <c r="H256" s="73" t="n"/>
      <c r="I256" s="73" t="n"/>
      <c r="J256" s="73" t="n"/>
      <c r="K256" s="73" t="n"/>
      <c r="L256" s="73" t="n"/>
      <c r="M256" s="73" t="n"/>
      <c r="N256" s="73" t="n"/>
      <c r="O256" s="73" t="n"/>
      <c r="P256" s="73" t="n"/>
      <c r="Q256" s="73" t="n"/>
      <c r="R256" s="73" t="n"/>
      <c r="S256" s="73" t="n"/>
      <c r="T256" s="73" t="n"/>
      <c r="U256" s="73" t="n"/>
      <c r="V256" s="73" t="n"/>
      <c r="W256" s="73" t="n"/>
      <c r="X256" s="73" t="n"/>
    </row>
    <row r="257" ht="75" customHeight="1" s="76">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row>
    <row r="258" ht="75" customHeight="1" s="76">
      <c r="A258" s="73" t="n"/>
      <c r="B258" s="73" t="n"/>
      <c r="C258" s="73" t="n"/>
      <c r="D258" s="73" t="n"/>
      <c r="E258" s="73" t="n"/>
      <c r="F258" s="73" t="n"/>
      <c r="G258" s="73" t="n"/>
      <c r="H258" s="73" t="n"/>
      <c r="I258" s="73" t="n"/>
      <c r="J258" s="73" t="n"/>
      <c r="K258" s="73" t="n"/>
      <c r="L258" s="73" t="n"/>
      <c r="M258" s="73" t="n"/>
      <c r="N258" s="73" t="n"/>
      <c r="O258" s="73" t="n"/>
      <c r="P258" s="73" t="n"/>
      <c r="Q258" s="73" t="n"/>
      <c r="R258" s="73" t="n"/>
      <c r="S258" s="73" t="n"/>
      <c r="T258" s="73" t="n"/>
      <c r="U258" s="73" t="n"/>
      <c r="V258" s="73" t="n"/>
      <c r="W258" s="73" t="n"/>
      <c r="X258" s="73" t="n"/>
    </row>
    <row r="259" ht="75" customHeight="1" s="76">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row>
    <row r="260" ht="75" customHeight="1" s="76">
      <c r="A260" s="73" t="n"/>
      <c r="B260" s="73" t="n"/>
      <c r="C260" s="73" t="n"/>
      <c r="D260" s="73" t="n"/>
      <c r="E260" s="73" t="n"/>
      <c r="F260" s="73" t="n"/>
      <c r="G260" s="73" t="n"/>
      <c r="H260" s="73" t="n"/>
      <c r="I260" s="73" t="n"/>
      <c r="J260" s="73" t="n"/>
      <c r="K260" s="73" t="n"/>
      <c r="L260" s="73" t="n"/>
      <c r="M260" s="73" t="n"/>
      <c r="N260" s="73" t="n"/>
      <c r="O260" s="73" t="n"/>
      <c r="P260" s="73" t="n"/>
      <c r="Q260" s="73" t="n"/>
      <c r="R260" s="73" t="n"/>
      <c r="S260" s="73" t="n"/>
      <c r="T260" s="73" t="n"/>
      <c r="U260" s="73" t="n"/>
      <c r="V260" s="73" t="n"/>
      <c r="W260" s="73" t="n"/>
      <c r="X260" s="73" t="n"/>
    </row>
    <row r="261" ht="75" customHeight="1" s="76">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row>
    <row r="262" ht="75" customHeight="1" s="76">
      <c r="A262" s="73" t="n"/>
      <c r="B262" s="73" t="n"/>
      <c r="C262" s="73" t="n"/>
      <c r="D262" s="73" t="n"/>
      <c r="E262" s="73" t="n"/>
      <c r="F262" s="73" t="n"/>
      <c r="G262" s="73" t="n"/>
      <c r="H262" s="73" t="n"/>
      <c r="I262" s="73" t="n"/>
      <c r="J262" s="73" t="n"/>
      <c r="K262" s="73" t="n"/>
      <c r="L262" s="73" t="n"/>
      <c r="M262" s="73" t="n"/>
      <c r="N262" s="73" t="n"/>
      <c r="O262" s="73" t="n"/>
      <c r="P262" s="73" t="n"/>
      <c r="Q262" s="73" t="n"/>
      <c r="R262" s="73" t="n"/>
      <c r="S262" s="73" t="n"/>
      <c r="T262" s="73" t="n"/>
      <c r="U262" s="73" t="n"/>
      <c r="V262" s="73" t="n"/>
      <c r="W262" s="73" t="n"/>
      <c r="X262" s="73" t="n"/>
    </row>
    <row r="263" ht="75" customHeight="1" s="76">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row>
    <row r="264" ht="75" customHeight="1" s="76">
      <c r="A264" s="73" t="n"/>
      <c r="B264" s="73" t="n"/>
      <c r="C264" s="73" t="n"/>
      <c r="D264" s="73" t="n"/>
      <c r="E264" s="73" t="n"/>
      <c r="F264" s="73" t="n"/>
      <c r="G264" s="73" t="n"/>
      <c r="H264" s="73" t="n"/>
      <c r="I264" s="73" t="n"/>
      <c r="J264" s="73" t="n"/>
      <c r="K264" s="73" t="n"/>
      <c r="L264" s="73" t="n"/>
      <c r="M264" s="73" t="n"/>
      <c r="N264" s="73" t="n"/>
      <c r="O264" s="73" t="n"/>
      <c r="P264" s="73" t="n"/>
      <c r="Q264" s="73" t="n"/>
      <c r="R264" s="73" t="n"/>
      <c r="S264" s="73" t="n"/>
      <c r="T264" s="73" t="n"/>
      <c r="U264" s="73" t="n"/>
      <c r="V264" s="73" t="n"/>
      <c r="W264" s="73" t="n"/>
      <c r="X264" s="73" t="n"/>
    </row>
    <row r="265" ht="75" customHeight="1" s="76">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row>
    <row r="266" ht="75" customHeight="1" s="76">
      <c r="A266" s="73" t="n"/>
      <c r="B266" s="73" t="n"/>
      <c r="C266" s="73" t="n"/>
      <c r="D266" s="73" t="n"/>
      <c r="E266" s="73" t="n"/>
      <c r="F266" s="73" t="n"/>
      <c r="G266" s="73" t="n"/>
      <c r="H266" s="73" t="n"/>
      <c r="I266" s="73" t="n"/>
      <c r="J266" s="73" t="n"/>
      <c r="K266" s="73" t="n"/>
      <c r="L266" s="73" t="n"/>
      <c r="M266" s="73" t="n"/>
      <c r="N266" s="73" t="n"/>
      <c r="O266" s="73" t="n"/>
      <c r="P266" s="73" t="n"/>
      <c r="Q266" s="73" t="n"/>
      <c r="R266" s="73" t="n"/>
      <c r="S266" s="73" t="n"/>
      <c r="T266" s="73" t="n"/>
      <c r="U266" s="73" t="n"/>
      <c r="V266" s="73" t="n"/>
      <c r="W266" s="73" t="n"/>
      <c r="X266" s="73" t="n"/>
    </row>
    <row r="267" ht="75" customHeight="1" s="76">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row>
    <row r="268" ht="75" customHeight="1" s="76">
      <c r="A268" s="73" t="n"/>
      <c r="B268" s="73" t="n"/>
      <c r="C268" s="73" t="n"/>
      <c r="D268" s="73" t="n"/>
      <c r="E268" s="73" t="n"/>
      <c r="F268" s="73" t="n"/>
      <c r="G268" s="73" t="n"/>
      <c r="H268" s="73" t="n"/>
      <c r="I268" s="73" t="n"/>
      <c r="J268" s="73" t="n"/>
      <c r="K268" s="73" t="n"/>
      <c r="L268" s="73" t="n"/>
      <c r="M268" s="73" t="n"/>
      <c r="N268" s="73" t="n"/>
      <c r="O268" s="73" t="n"/>
      <c r="P268" s="73" t="n"/>
      <c r="Q268" s="73" t="n"/>
      <c r="R268" s="73" t="n"/>
      <c r="S268" s="73" t="n"/>
      <c r="T268" s="73" t="n"/>
      <c r="U268" s="73" t="n"/>
      <c r="V268" s="73" t="n"/>
      <c r="W268" s="73" t="n"/>
      <c r="X268" s="73" t="n"/>
    </row>
    <row r="269" ht="75" customHeight="1" s="76">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row>
    <row r="270" ht="75" customHeight="1" s="76">
      <c r="A270" s="73" t="n"/>
      <c r="B270" s="73" t="n"/>
      <c r="C270" s="73" t="n"/>
      <c r="D270" s="73" t="n"/>
      <c r="E270" s="73" t="n"/>
      <c r="F270" s="73" t="n"/>
      <c r="G270" s="73" t="n"/>
      <c r="H270" s="73" t="n"/>
      <c r="I270" s="73" t="n"/>
      <c r="J270" s="73" t="n"/>
      <c r="K270" s="73" t="n"/>
      <c r="L270" s="73" t="n"/>
      <c r="M270" s="73" t="n"/>
      <c r="N270" s="73" t="n"/>
      <c r="O270" s="73" t="n"/>
      <c r="P270" s="73" t="n"/>
      <c r="Q270" s="73" t="n"/>
      <c r="R270" s="73" t="n"/>
      <c r="S270" s="73" t="n"/>
      <c r="T270" s="73" t="n"/>
      <c r="U270" s="73" t="n"/>
      <c r="V270" s="73" t="n"/>
      <c r="W270" s="73" t="n"/>
      <c r="X270" s="73" t="n"/>
    </row>
    <row r="271" ht="75" customHeight="1" s="76">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row>
    <row r="272" ht="75" customHeight="1" s="76">
      <c r="A272" s="73" t="n"/>
      <c r="B272" s="73" t="n"/>
      <c r="C272" s="73" t="n"/>
      <c r="D272" s="73" t="n"/>
      <c r="E272" s="73" t="n"/>
      <c r="F272" s="73" t="n"/>
      <c r="G272" s="73" t="n"/>
      <c r="H272" s="73" t="n"/>
      <c r="I272" s="73" t="n"/>
      <c r="J272" s="73" t="n"/>
      <c r="K272" s="73" t="n"/>
      <c r="L272" s="73" t="n"/>
      <c r="M272" s="73" t="n"/>
      <c r="N272" s="73" t="n"/>
      <c r="O272" s="73" t="n"/>
      <c r="P272" s="73" t="n"/>
      <c r="Q272" s="73" t="n"/>
      <c r="R272" s="73" t="n"/>
      <c r="S272" s="73" t="n"/>
      <c r="T272" s="73" t="n"/>
      <c r="U272" s="73" t="n"/>
      <c r="V272" s="73" t="n"/>
      <c r="W272" s="73" t="n"/>
      <c r="X272" s="73" t="n"/>
    </row>
    <row r="273" ht="75" customHeight="1" s="76">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row>
    <row r="274" ht="75" customHeight="1" s="76">
      <c r="A274" s="73" t="n"/>
      <c r="B274" s="73" t="n"/>
      <c r="C274" s="73" t="n"/>
      <c r="D274" s="73" t="n"/>
      <c r="E274" s="73" t="n"/>
      <c r="F274" s="73" t="n"/>
      <c r="G274" s="73" t="n"/>
      <c r="H274" s="73" t="n"/>
      <c r="I274" s="73" t="n"/>
      <c r="J274" s="73" t="n"/>
      <c r="K274" s="73" t="n"/>
      <c r="L274" s="73" t="n"/>
      <c r="M274" s="73" t="n"/>
      <c r="N274" s="73" t="n"/>
      <c r="O274" s="73" t="n"/>
      <c r="P274" s="73" t="n"/>
      <c r="Q274" s="73" t="n"/>
      <c r="R274" s="73" t="n"/>
      <c r="S274" s="73" t="n"/>
      <c r="T274" s="73" t="n"/>
      <c r="U274" s="73" t="n"/>
      <c r="V274" s="73" t="n"/>
      <c r="W274" s="73" t="n"/>
      <c r="X274" s="73" t="n"/>
    </row>
    <row r="275" ht="75" customHeight="1" s="76">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row>
    <row r="276" ht="75" customHeight="1" s="76">
      <c r="A276" s="73" t="n"/>
      <c r="B276" s="73" t="n"/>
      <c r="C276" s="73" t="n"/>
      <c r="D276" s="73" t="n"/>
      <c r="E276" s="73" t="n"/>
      <c r="F276" s="73" t="n"/>
      <c r="G276" s="73" t="n"/>
      <c r="H276" s="73" t="n"/>
      <c r="I276" s="73" t="n"/>
      <c r="J276" s="73" t="n"/>
      <c r="K276" s="73" t="n"/>
      <c r="L276" s="73" t="n"/>
      <c r="M276" s="73" t="n"/>
      <c r="N276" s="73" t="n"/>
      <c r="O276" s="73" t="n"/>
      <c r="P276" s="73" t="n"/>
      <c r="Q276" s="73" t="n"/>
      <c r="R276" s="73" t="n"/>
      <c r="S276" s="73" t="n"/>
      <c r="T276" s="73" t="n"/>
      <c r="U276" s="73" t="n"/>
      <c r="V276" s="73" t="n"/>
      <c r="W276" s="73" t="n"/>
      <c r="X276" s="73" t="n"/>
    </row>
    <row r="277" ht="75" customHeight="1" s="76">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row>
    <row r="278" ht="75" customHeight="1" s="76">
      <c r="A278" s="73" t="n"/>
      <c r="B278" s="73" t="n"/>
      <c r="C278" s="73" t="n"/>
      <c r="D278" s="73" t="n"/>
      <c r="E278" s="73" t="n"/>
      <c r="F278" s="73" t="n"/>
      <c r="G278" s="73" t="n"/>
      <c r="H278" s="73" t="n"/>
      <c r="I278" s="73" t="n"/>
      <c r="J278" s="73" t="n"/>
      <c r="K278" s="73" t="n"/>
      <c r="L278" s="73" t="n"/>
      <c r="M278" s="73" t="n"/>
      <c r="N278" s="73" t="n"/>
      <c r="O278" s="73" t="n"/>
      <c r="P278" s="73" t="n"/>
      <c r="Q278" s="73" t="n"/>
      <c r="R278" s="73" t="n"/>
      <c r="S278" s="73" t="n"/>
      <c r="T278" s="73" t="n"/>
      <c r="U278" s="73" t="n"/>
      <c r="V278" s="73" t="n"/>
      <c r="W278" s="73" t="n"/>
      <c r="X278" s="73" t="n"/>
    </row>
    <row r="279" ht="75" customHeight="1" s="76">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row>
    <row r="280" ht="75" customHeight="1" s="76">
      <c r="A280" s="73" t="n"/>
      <c r="B280" s="73" t="n"/>
      <c r="C280" s="73" t="n"/>
      <c r="D280" s="73" t="n"/>
      <c r="E280" s="73" t="n"/>
      <c r="F280" s="73" t="n"/>
      <c r="G280" s="73" t="n"/>
      <c r="H280" s="73" t="n"/>
      <c r="I280" s="73" t="n"/>
      <c r="J280" s="73" t="n"/>
      <c r="K280" s="73" t="n"/>
      <c r="L280" s="73" t="n"/>
      <c r="M280" s="73" t="n"/>
      <c r="N280" s="73" t="n"/>
      <c r="O280" s="73" t="n"/>
      <c r="P280" s="73" t="n"/>
      <c r="Q280" s="73" t="n"/>
      <c r="R280" s="73" t="n"/>
      <c r="S280" s="73" t="n"/>
      <c r="T280" s="73" t="n"/>
      <c r="U280" s="73" t="n"/>
      <c r="V280" s="73" t="n"/>
      <c r="W280" s="73" t="n"/>
      <c r="X280" s="73" t="n"/>
    </row>
    <row r="281" ht="75" customHeight="1" s="76">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row>
    <row r="282" ht="75" customHeight="1" s="76">
      <c r="A282" s="73" t="n"/>
      <c r="B282" s="73" t="n"/>
      <c r="C282" s="73" t="n"/>
      <c r="D282" s="73" t="n"/>
      <c r="E282" s="73" t="n"/>
      <c r="F282" s="73" t="n"/>
      <c r="G282" s="73" t="n"/>
      <c r="H282" s="73" t="n"/>
      <c r="I282" s="73" t="n"/>
      <c r="J282" s="73" t="n"/>
      <c r="K282" s="73" t="n"/>
      <c r="L282" s="73" t="n"/>
      <c r="M282" s="73" t="n"/>
      <c r="N282" s="73" t="n"/>
      <c r="O282" s="73" t="n"/>
      <c r="P282" s="73" t="n"/>
      <c r="Q282" s="73" t="n"/>
      <c r="R282" s="73" t="n"/>
      <c r="S282" s="73" t="n"/>
      <c r="T282" s="73" t="n"/>
      <c r="U282" s="73" t="n"/>
      <c r="V282" s="73" t="n"/>
      <c r="W282" s="73" t="n"/>
      <c r="X282" s="73" t="n"/>
    </row>
    <row r="283" ht="75" customHeight="1" s="76">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row>
    <row r="284" ht="75" customHeight="1" s="76">
      <c r="A284" s="73" t="n"/>
      <c r="B284" s="73" t="n"/>
      <c r="C284" s="73" t="n"/>
      <c r="D284" s="73" t="n"/>
      <c r="E284" s="73" t="n"/>
      <c r="F284" s="73" t="n"/>
      <c r="G284" s="73" t="n"/>
      <c r="H284" s="73" t="n"/>
      <c r="I284" s="73" t="n"/>
      <c r="J284" s="73" t="n"/>
      <c r="K284" s="73" t="n"/>
      <c r="L284" s="73" t="n"/>
      <c r="M284" s="73" t="n"/>
      <c r="N284" s="73" t="n"/>
      <c r="O284" s="73" t="n"/>
      <c r="P284" s="73" t="n"/>
      <c r="Q284" s="73" t="n"/>
      <c r="R284" s="73" t="n"/>
      <c r="S284" s="73" t="n"/>
      <c r="T284" s="73" t="n"/>
      <c r="U284" s="73" t="n"/>
      <c r="V284" s="73" t="n"/>
      <c r="W284" s="73" t="n"/>
      <c r="X284" s="73" t="n"/>
    </row>
    <row r="285" ht="75" customHeight="1" s="76">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row>
    <row r="286" ht="75" customHeight="1" s="76">
      <c r="A286" s="73" t="n"/>
      <c r="B286" s="73" t="n"/>
      <c r="C286" s="73" t="n"/>
      <c r="D286" s="73" t="n"/>
      <c r="E286" s="73" t="n"/>
      <c r="F286" s="73" t="n"/>
      <c r="G286" s="73" t="n"/>
      <c r="H286" s="73" t="n"/>
      <c r="I286" s="73" t="n"/>
      <c r="J286" s="73" t="n"/>
      <c r="K286" s="73" t="n"/>
      <c r="L286" s="73" t="n"/>
      <c r="M286" s="73" t="n"/>
      <c r="N286" s="73" t="n"/>
      <c r="O286" s="73" t="n"/>
      <c r="P286" s="73" t="n"/>
      <c r="Q286" s="73" t="n"/>
      <c r="R286" s="73" t="n"/>
      <c r="S286" s="73" t="n"/>
      <c r="T286" s="73" t="n"/>
      <c r="U286" s="73" t="n"/>
      <c r="V286" s="73" t="n"/>
      <c r="W286" s="73" t="n"/>
      <c r="X286" s="73" t="n"/>
    </row>
    <row r="287" ht="75" customHeight="1" s="76">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row>
    <row r="288" ht="75" customHeight="1" s="76">
      <c r="A288" s="73" t="n"/>
      <c r="B288" s="73" t="n"/>
      <c r="C288" s="73" t="n"/>
      <c r="D288" s="73" t="n"/>
      <c r="E288" s="73" t="n"/>
      <c r="F288" s="73" t="n"/>
      <c r="G288" s="73" t="n"/>
      <c r="H288" s="73" t="n"/>
      <c r="I288" s="73" t="n"/>
      <c r="J288" s="73" t="n"/>
      <c r="K288" s="73" t="n"/>
      <c r="L288" s="73" t="n"/>
      <c r="M288" s="73" t="n"/>
      <c r="N288" s="73" t="n"/>
      <c r="O288" s="73" t="n"/>
      <c r="P288" s="73" t="n"/>
      <c r="Q288" s="73" t="n"/>
      <c r="R288" s="73" t="n"/>
      <c r="S288" s="73" t="n"/>
      <c r="T288" s="73" t="n"/>
      <c r="U288" s="73" t="n"/>
      <c r="V288" s="73" t="n"/>
      <c r="W288" s="73" t="n"/>
      <c r="X288" s="73" t="n"/>
    </row>
    <row r="289" ht="75" customHeight="1" s="76">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row>
    <row r="290" ht="75" customHeight="1" s="76">
      <c r="A290" s="73" t="n"/>
      <c r="B290" s="73" t="n"/>
      <c r="C290" s="73" t="n"/>
      <c r="D290" s="73" t="n"/>
      <c r="E290" s="73" t="n"/>
      <c r="F290" s="73" t="n"/>
      <c r="G290" s="73" t="n"/>
      <c r="H290" s="73" t="n"/>
      <c r="I290" s="73" t="n"/>
      <c r="J290" s="73" t="n"/>
      <c r="K290" s="73" t="n"/>
      <c r="L290" s="73" t="n"/>
      <c r="M290" s="73" t="n"/>
      <c r="N290" s="73" t="n"/>
      <c r="O290" s="73" t="n"/>
      <c r="P290" s="73" t="n"/>
      <c r="Q290" s="73" t="n"/>
      <c r="R290" s="73" t="n"/>
      <c r="S290" s="73" t="n"/>
      <c r="T290" s="73" t="n"/>
      <c r="U290" s="73" t="n"/>
      <c r="V290" s="73" t="n"/>
      <c r="W290" s="73" t="n"/>
      <c r="X290" s="73" t="n"/>
    </row>
    <row r="291" ht="75" customHeight="1" s="76">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row>
    <row r="292" ht="75" customHeight="1" s="76">
      <c r="A292" s="73" t="n"/>
      <c r="B292" s="73" t="n"/>
      <c r="C292" s="73" t="n"/>
      <c r="D292" s="73" t="n"/>
      <c r="E292" s="73" t="n"/>
      <c r="F292" s="73" t="n"/>
      <c r="G292" s="73" t="n"/>
      <c r="H292" s="73" t="n"/>
      <c r="I292" s="73" t="n"/>
      <c r="J292" s="73" t="n"/>
      <c r="K292" s="73" t="n"/>
      <c r="L292" s="73" t="n"/>
      <c r="M292" s="73" t="n"/>
      <c r="N292" s="73" t="n"/>
      <c r="O292" s="73" t="n"/>
      <c r="P292" s="73" t="n"/>
      <c r="Q292" s="73" t="n"/>
      <c r="R292" s="73" t="n"/>
      <c r="S292" s="73" t="n"/>
      <c r="T292" s="73" t="n"/>
      <c r="U292" s="73" t="n"/>
      <c r="V292" s="73" t="n"/>
      <c r="W292" s="73" t="n"/>
      <c r="X292" s="73" t="n"/>
    </row>
    <row r="293" ht="75" customHeight="1" s="76">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row>
    <row r="294" ht="75" customHeight="1" s="76">
      <c r="A294" s="73" t="n"/>
      <c r="B294" s="73" t="n"/>
      <c r="C294" s="73" t="n"/>
      <c r="D294" s="73" t="n"/>
      <c r="E294" s="73" t="n"/>
      <c r="F294" s="73" t="n"/>
      <c r="G294" s="73" t="n"/>
      <c r="H294" s="73" t="n"/>
      <c r="I294" s="73" t="n"/>
      <c r="J294" s="73" t="n"/>
      <c r="K294" s="73" t="n"/>
      <c r="L294" s="73" t="n"/>
      <c r="M294" s="73" t="n"/>
      <c r="N294" s="73" t="n"/>
      <c r="O294" s="73" t="n"/>
      <c r="P294" s="73" t="n"/>
      <c r="Q294" s="73" t="n"/>
      <c r="R294" s="73" t="n"/>
      <c r="S294" s="73" t="n"/>
      <c r="T294" s="73" t="n"/>
      <c r="U294" s="73" t="n"/>
      <c r="V294" s="73" t="n"/>
      <c r="W294" s="73" t="n"/>
      <c r="X294" s="73" t="n"/>
    </row>
    <row r="295" ht="75" customHeight="1" s="76">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row>
    <row r="296" ht="75" customHeight="1" s="76">
      <c r="A296" s="73" t="n"/>
      <c r="B296" s="73" t="n"/>
      <c r="C296" s="73" t="n"/>
      <c r="D296" s="73" t="n"/>
      <c r="E296" s="73" t="n"/>
      <c r="F296" s="73" t="n"/>
      <c r="G296" s="73" t="n"/>
      <c r="H296" s="73" t="n"/>
      <c r="I296" s="73" t="n"/>
      <c r="J296" s="73" t="n"/>
      <c r="K296" s="73" t="n"/>
      <c r="L296" s="73" t="n"/>
      <c r="M296" s="73" t="n"/>
      <c r="N296" s="73" t="n"/>
      <c r="O296" s="73" t="n"/>
      <c r="P296" s="73" t="n"/>
      <c r="Q296" s="73" t="n"/>
      <c r="R296" s="73" t="n"/>
      <c r="S296" s="73" t="n"/>
      <c r="T296" s="73" t="n"/>
      <c r="U296" s="73" t="n"/>
      <c r="V296" s="73" t="n"/>
      <c r="W296" s="73" t="n"/>
      <c r="X296" s="73" t="n"/>
    </row>
    <row r="297" ht="75" customHeight="1" s="76">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row>
    <row r="298" ht="75" customHeight="1" s="76">
      <c r="A298" s="73" t="n"/>
      <c r="B298" s="73" t="n"/>
      <c r="C298" s="73" t="n"/>
      <c r="D298" s="73" t="n"/>
      <c r="E298" s="73" t="n"/>
      <c r="F298" s="73" t="n"/>
      <c r="G298" s="73" t="n"/>
      <c r="H298" s="73" t="n"/>
      <c r="I298" s="73" t="n"/>
      <c r="J298" s="73" t="n"/>
      <c r="K298" s="73" t="n"/>
      <c r="L298" s="73" t="n"/>
      <c r="M298" s="73" t="n"/>
      <c r="N298" s="73" t="n"/>
      <c r="O298" s="73" t="n"/>
      <c r="P298" s="73" t="n"/>
      <c r="Q298" s="73" t="n"/>
      <c r="R298" s="73" t="n"/>
      <c r="S298" s="73" t="n"/>
      <c r="T298" s="73" t="n"/>
      <c r="U298" s="73" t="n"/>
      <c r="V298" s="73" t="n"/>
      <c r="W298" s="73" t="n"/>
      <c r="X298" s="73" t="n"/>
    </row>
    <row r="299" ht="75" customHeight="1" s="76">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row>
    <row r="300" ht="75" customHeight="1" s="76">
      <c r="A300" s="73" t="n"/>
      <c r="B300" s="73" t="n"/>
      <c r="C300" s="73" t="n"/>
      <c r="D300" s="73" t="n"/>
      <c r="E300" s="73" t="n"/>
      <c r="F300" s="73" t="n"/>
      <c r="G300" s="73" t="n"/>
      <c r="H300" s="73" t="n"/>
      <c r="I300" s="73" t="n"/>
      <c r="J300" s="73" t="n"/>
      <c r="K300" s="73" t="n"/>
      <c r="L300" s="73" t="n"/>
      <c r="M300" s="73" t="n"/>
      <c r="N300" s="73" t="n"/>
      <c r="O300" s="73" t="n"/>
      <c r="P300" s="73" t="n"/>
      <c r="Q300" s="73" t="n"/>
      <c r="R300" s="73" t="n"/>
      <c r="S300" s="73" t="n"/>
      <c r="T300" s="73" t="n"/>
      <c r="U300" s="73" t="n"/>
      <c r="V300" s="73" t="n"/>
      <c r="W300" s="73" t="n"/>
      <c r="X300" s="73" t="n"/>
    </row>
    <row r="301" ht="75" customHeight="1" s="76">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row>
    <row r="302" ht="75" customHeight="1" s="76">
      <c r="A302" s="73" t="n"/>
      <c r="B302" s="73" t="n"/>
      <c r="C302" s="73" t="n"/>
      <c r="D302" s="73" t="n"/>
      <c r="E302" s="73" t="n"/>
      <c r="F302" s="73" t="n"/>
      <c r="G302" s="73" t="n"/>
      <c r="H302" s="73" t="n"/>
      <c r="I302" s="73" t="n"/>
      <c r="J302" s="73" t="n"/>
      <c r="K302" s="73" t="n"/>
      <c r="L302" s="73" t="n"/>
      <c r="M302" s="73" t="n"/>
      <c r="N302" s="73" t="n"/>
      <c r="O302" s="73" t="n"/>
      <c r="P302" s="73" t="n"/>
      <c r="Q302" s="73" t="n"/>
      <c r="R302" s="73" t="n"/>
      <c r="S302" s="73" t="n"/>
      <c r="T302" s="73" t="n"/>
      <c r="U302" s="73" t="n"/>
      <c r="V302" s="73" t="n"/>
      <c r="W302" s="73" t="n"/>
      <c r="X302" s="73" t="n"/>
    </row>
    <row r="303" ht="75" customHeight="1" s="76">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row>
    <row r="304" ht="75" customHeight="1" s="76">
      <c r="A304" s="73" t="n"/>
      <c r="B304" s="73" t="n"/>
      <c r="C304" s="73" t="n"/>
      <c r="D304" s="73" t="n"/>
      <c r="E304" s="73" t="n"/>
      <c r="F304" s="73" t="n"/>
      <c r="G304" s="73" t="n"/>
      <c r="H304" s="73" t="n"/>
      <c r="I304" s="73" t="n"/>
      <c r="J304" s="73" t="n"/>
      <c r="K304" s="73" t="n"/>
      <c r="L304" s="73" t="n"/>
      <c r="M304" s="73" t="n"/>
      <c r="N304" s="73" t="n"/>
      <c r="O304" s="73" t="n"/>
      <c r="P304" s="73" t="n"/>
      <c r="Q304" s="73" t="n"/>
      <c r="R304" s="73" t="n"/>
      <c r="S304" s="73" t="n"/>
      <c r="T304" s="73" t="n"/>
      <c r="U304" s="73" t="n"/>
      <c r="V304" s="73" t="n"/>
      <c r="W304" s="73" t="n"/>
      <c r="X304" s="73" t="n"/>
    </row>
    <row r="305" ht="75" customHeight="1" s="76">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row>
    <row r="306" ht="75" customHeight="1" s="76">
      <c r="A306" s="73" t="n"/>
      <c r="B306" s="73" t="n"/>
      <c r="C306" s="73" t="n"/>
      <c r="D306" s="73" t="n"/>
      <c r="E306" s="73" t="n"/>
      <c r="F306" s="73" t="n"/>
      <c r="G306" s="73" t="n"/>
      <c r="H306" s="73" t="n"/>
      <c r="I306" s="73" t="n"/>
      <c r="J306" s="73" t="n"/>
      <c r="K306" s="73" t="n"/>
      <c r="L306" s="73" t="n"/>
      <c r="M306" s="73" t="n"/>
      <c r="N306" s="73" t="n"/>
      <c r="O306" s="73" t="n"/>
      <c r="P306" s="73" t="n"/>
      <c r="Q306" s="73" t="n"/>
      <c r="R306" s="73" t="n"/>
      <c r="S306" s="73" t="n"/>
      <c r="T306" s="73" t="n"/>
      <c r="U306" s="73" t="n"/>
      <c r="V306" s="73" t="n"/>
      <c r="W306" s="73" t="n"/>
      <c r="X306" s="73" t="n"/>
    </row>
    <row r="307" ht="75" customHeight="1" s="76">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row>
    <row r="308" ht="75" customHeight="1" s="76">
      <c r="A308" s="73" t="n"/>
      <c r="B308" s="73" t="n"/>
      <c r="C308" s="73" t="n"/>
      <c r="D308" s="73" t="n"/>
      <c r="E308" s="73" t="n"/>
      <c r="F308" s="73" t="n"/>
      <c r="G308" s="73" t="n"/>
      <c r="H308" s="73" t="n"/>
      <c r="I308" s="73" t="n"/>
      <c r="J308" s="73" t="n"/>
      <c r="K308" s="73" t="n"/>
      <c r="L308" s="73" t="n"/>
      <c r="M308" s="73" t="n"/>
      <c r="N308" s="73" t="n"/>
      <c r="O308" s="73" t="n"/>
      <c r="P308" s="73" t="n"/>
      <c r="Q308" s="73" t="n"/>
      <c r="R308" s="73" t="n"/>
      <c r="S308" s="73" t="n"/>
      <c r="T308" s="73" t="n"/>
      <c r="U308" s="73" t="n"/>
      <c r="V308" s="73" t="n"/>
      <c r="W308" s="73" t="n"/>
      <c r="X308" s="73" t="n"/>
    </row>
    <row r="309" ht="75" customHeight="1" s="76">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row>
    <row r="310" ht="75" customHeight="1" s="76">
      <c r="A310" s="73" t="n"/>
      <c r="B310" s="73" t="n"/>
      <c r="C310" s="73" t="n"/>
      <c r="D310" s="73" t="n"/>
      <c r="E310" s="73" t="n"/>
      <c r="F310" s="73" t="n"/>
      <c r="G310" s="73" t="n"/>
      <c r="H310" s="73" t="n"/>
      <c r="I310" s="73" t="n"/>
      <c r="J310" s="73" t="n"/>
      <c r="K310" s="73" t="n"/>
      <c r="L310" s="73" t="n"/>
      <c r="M310" s="73" t="n"/>
      <c r="N310" s="73" t="n"/>
      <c r="O310" s="73" t="n"/>
      <c r="P310" s="73" t="n"/>
      <c r="Q310" s="73" t="n"/>
      <c r="R310" s="73" t="n"/>
      <c r="S310" s="73" t="n"/>
      <c r="T310" s="73" t="n"/>
      <c r="U310" s="73" t="n"/>
      <c r="V310" s="73" t="n"/>
      <c r="W310" s="73" t="n"/>
      <c r="X310" s="73" t="n"/>
    </row>
    <row r="311" ht="75" customHeight="1" s="76">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row>
    <row r="312">
      <c r="A312" s="72" t="n"/>
      <c r="B312" s="72" t="n"/>
      <c r="C312" s="72" t="n"/>
      <c r="D312" s="72" t="n"/>
      <c r="E312" s="72" t="n"/>
      <c r="F312" s="73" t="n"/>
      <c r="G312" s="73" t="n"/>
      <c r="H312" s="72" t="n"/>
      <c r="I312" s="72" t="n"/>
      <c r="J312" s="72" t="n"/>
      <c r="K312" s="72" t="n"/>
      <c r="L312" s="72" t="n"/>
      <c r="M312" s="72" t="n"/>
      <c r="N312" s="72" t="n"/>
      <c r="O312" s="72" t="n"/>
      <c r="P312" s="72" t="n"/>
      <c r="Q312" s="72" t="n"/>
      <c r="R312" s="73" t="n"/>
      <c r="S312" s="73" t="n"/>
      <c r="T312" s="72" t="n"/>
      <c r="U312" s="72" t="n"/>
      <c r="V312" s="72" t="n"/>
      <c r="W312" s="72" t="n"/>
      <c r="X312" s="72" t="n"/>
    </row>
    <row r="313">
      <c r="A313" s="71" t="n"/>
      <c r="B313" s="71" t="n"/>
      <c r="C313" s="71" t="n"/>
      <c r="D313" s="71" t="n"/>
      <c r="E313" s="71" t="n"/>
      <c r="F313" s="46" t="n"/>
      <c r="G313" s="46" t="n"/>
      <c r="H313" s="71" t="n"/>
      <c r="I313" s="71" t="n"/>
      <c r="J313" s="71" t="n"/>
      <c r="K313" s="71" t="n"/>
      <c r="L313" s="71" t="n"/>
      <c r="M313" s="71" t="n"/>
      <c r="N313" s="71" t="n"/>
      <c r="O313" s="71" t="n"/>
      <c r="P313" s="71" t="n"/>
      <c r="Q313" s="71" t="n"/>
      <c r="R313" s="46" t="n"/>
      <c r="S313" s="46" t="n"/>
      <c r="T313" s="71" t="n"/>
      <c r="U313" s="71" t="n"/>
      <c r="V313" s="71" t="n"/>
      <c r="W313" s="71" t="n"/>
      <c r="X313" s="71" t="n"/>
    </row>
    <row r="314">
      <c r="A314" s="72" t="n"/>
      <c r="B314" s="72" t="n"/>
      <c r="C314" s="72" t="n"/>
      <c r="D314" s="72" t="n"/>
      <c r="E314" s="72" t="n"/>
      <c r="F314" s="73" t="n"/>
      <c r="G314" s="73" t="n"/>
      <c r="H314" s="72" t="n"/>
      <c r="I314" s="72" t="n"/>
      <c r="J314" s="72" t="n"/>
      <c r="K314" s="72" t="n"/>
      <c r="L314" s="72" t="n"/>
      <c r="M314" s="72" t="n"/>
      <c r="N314" s="72" t="n"/>
      <c r="O314" s="72" t="n"/>
      <c r="P314" s="72" t="n"/>
      <c r="Q314" s="72" t="n"/>
      <c r="R314" s="73" t="n"/>
      <c r="S314" s="73" t="n"/>
      <c r="T314" s="72" t="n"/>
      <c r="U314" s="72" t="n"/>
      <c r="V314" s="72" t="n"/>
      <c r="W314" s="72" t="n"/>
      <c r="X314" s="72" t="n"/>
    </row>
    <row r="315">
      <c r="A315" s="71" t="n"/>
      <c r="B315" s="71" t="n"/>
      <c r="C315" s="71" t="n"/>
      <c r="D315" s="71" t="n"/>
      <c r="E315" s="71" t="n"/>
      <c r="F315" s="46" t="n"/>
      <c r="G315" s="46" t="n"/>
      <c r="H315" s="71" t="n"/>
      <c r="I315" s="71" t="n"/>
      <c r="J315" s="71" t="n"/>
      <c r="K315" s="71" t="n"/>
      <c r="L315" s="71" t="n"/>
      <c r="M315" s="71" t="n"/>
      <c r="N315" s="71" t="n"/>
      <c r="O315" s="71" t="n"/>
      <c r="P315" s="71" t="n"/>
      <c r="Q315" s="71" t="n"/>
      <c r="R315" s="46" t="n"/>
      <c r="S315" s="46" t="n"/>
      <c r="T315" s="71" t="n"/>
      <c r="U315" s="71" t="n"/>
      <c r="V315" s="71" t="n"/>
      <c r="W315" s="71" t="n"/>
      <c r="X315" s="71" t="n"/>
    </row>
    <row r="316">
      <c r="A316" s="72" t="n"/>
      <c r="B316" s="72" t="n"/>
      <c r="C316" s="72" t="n"/>
      <c r="D316" s="72" t="n"/>
      <c r="E316" s="72" t="n"/>
      <c r="F316" s="73" t="n"/>
      <c r="G316" s="73" t="n"/>
      <c r="H316" s="72" t="n"/>
      <c r="I316" s="72" t="n"/>
      <c r="J316" s="72" t="n"/>
      <c r="K316" s="72" t="n"/>
      <c r="L316" s="72" t="n"/>
      <c r="M316" s="72" t="n"/>
      <c r="N316" s="72" t="n"/>
      <c r="O316" s="72" t="n"/>
      <c r="P316" s="72" t="n"/>
      <c r="Q316" s="72" t="n"/>
      <c r="R316" s="73" t="n"/>
      <c r="S316" s="73" t="n"/>
      <c r="T316" s="72" t="n"/>
      <c r="U316" s="72" t="n"/>
      <c r="V316" s="72" t="n"/>
      <c r="W316" s="72" t="n"/>
      <c r="X316" s="72" t="n"/>
    </row>
    <row r="317">
      <c r="A317" s="71" t="n"/>
      <c r="B317" s="71" t="n"/>
      <c r="C317" s="71" t="n"/>
      <c r="D317" s="71" t="n"/>
      <c r="E317" s="71" t="n"/>
      <c r="F317" s="46" t="n"/>
      <c r="G317" s="46" t="n"/>
      <c r="H317" s="71" t="n"/>
      <c r="I317" s="71" t="n"/>
      <c r="J317" s="71" t="n"/>
      <c r="K317" s="71" t="n"/>
      <c r="L317" s="71" t="n"/>
      <c r="M317" s="71" t="n"/>
      <c r="N317" s="71" t="n"/>
      <c r="O317" s="71" t="n"/>
      <c r="P317" s="71" t="n"/>
      <c r="Q317" s="71" t="n"/>
      <c r="R317" s="46" t="n"/>
      <c r="S317" s="46" t="n"/>
      <c r="T317" s="71" t="n"/>
      <c r="U317" s="71" t="n"/>
      <c r="V317" s="71" t="n"/>
      <c r="W317" s="71" t="n"/>
      <c r="X317" s="71" t="n"/>
    </row>
    <row r="318">
      <c r="A318" s="72" t="n"/>
      <c r="B318" s="72" t="n"/>
      <c r="C318" s="72" t="n"/>
      <c r="D318" s="72" t="n"/>
      <c r="E318" s="72" t="n"/>
      <c r="F318" s="73" t="n"/>
      <c r="G318" s="73" t="n"/>
      <c r="H318" s="72" t="n"/>
      <c r="I318" s="72" t="n"/>
      <c r="J318" s="72" t="n"/>
      <c r="K318" s="72" t="n"/>
      <c r="L318" s="72" t="n"/>
      <c r="M318" s="72" t="n"/>
      <c r="N318" s="72" t="n"/>
      <c r="O318" s="72" t="n"/>
      <c r="P318" s="72" t="n"/>
      <c r="Q318" s="72" t="n"/>
      <c r="R318" s="73" t="n"/>
      <c r="S318" s="73" t="n"/>
      <c r="T318" s="72" t="n"/>
      <c r="U318" s="72" t="n"/>
      <c r="V318" s="72" t="n"/>
      <c r="W318" s="72" t="n"/>
      <c r="X318" s="72" t="n"/>
    </row>
    <row r="319">
      <c r="A319" s="71" t="n"/>
      <c r="B319" s="71" t="n"/>
      <c r="C319" s="71" t="n"/>
      <c r="D319" s="71" t="n"/>
      <c r="E319" s="71" t="n"/>
      <c r="F319" s="46" t="n"/>
      <c r="G319" s="46" t="n"/>
      <c r="H319" s="71" t="n"/>
      <c r="I319" s="71" t="n"/>
      <c r="J319" s="71" t="n"/>
      <c r="K319" s="71" t="n"/>
      <c r="L319" s="71" t="n"/>
      <c r="M319" s="71" t="n"/>
      <c r="N319" s="71" t="n"/>
      <c r="O319" s="71" t="n"/>
      <c r="P319" s="71" t="n"/>
      <c r="Q319" s="71" t="n"/>
      <c r="R319" s="46" t="n"/>
      <c r="S319" s="46" t="n"/>
      <c r="T319" s="71" t="n"/>
      <c r="U319" s="71" t="n"/>
      <c r="V319" s="71" t="n"/>
      <c r="W319" s="71" t="n"/>
      <c r="X319" s="71" t="n"/>
    </row>
    <row r="320">
      <c r="A320" s="72" t="n"/>
      <c r="B320" s="72" t="n"/>
      <c r="C320" s="72" t="n"/>
      <c r="D320" s="72" t="n"/>
      <c r="E320" s="72" t="n"/>
      <c r="F320" s="73" t="n"/>
      <c r="G320" s="73" t="n"/>
      <c r="H320" s="72" t="n"/>
      <c r="I320" s="72" t="n"/>
      <c r="J320" s="72" t="n"/>
      <c r="K320" s="72" t="n"/>
      <c r="L320" s="72" t="n"/>
      <c r="M320" s="72" t="n"/>
      <c r="N320" s="72" t="n"/>
      <c r="O320" s="72" t="n"/>
      <c r="P320" s="72" t="n"/>
      <c r="Q320" s="72" t="n"/>
      <c r="R320" s="73" t="n"/>
      <c r="S320" s="73" t="n"/>
      <c r="T320" s="72" t="n"/>
      <c r="U320" s="72" t="n"/>
      <c r="V320" s="72" t="n"/>
      <c r="W320" s="72" t="n"/>
      <c r="X320" s="72" t="n"/>
    </row>
    <row r="321">
      <c r="A321" s="71" t="n"/>
      <c r="B321" s="71" t="n"/>
      <c r="C321" s="71" t="n"/>
      <c r="D321" s="71" t="n"/>
      <c r="E321" s="71" t="n"/>
      <c r="F321" s="46" t="n"/>
      <c r="G321" s="46" t="n"/>
      <c r="H321" s="71" t="n"/>
      <c r="I321" s="71" t="n"/>
      <c r="J321" s="71" t="n"/>
      <c r="K321" s="71" t="n"/>
      <c r="L321" s="71" t="n"/>
      <c r="M321" s="71" t="n"/>
      <c r="N321" s="71" t="n"/>
      <c r="O321" s="71" t="n"/>
      <c r="P321" s="71" t="n"/>
      <c r="Q321" s="71" t="n"/>
      <c r="R321" s="46" t="n"/>
      <c r="S321" s="46" t="n"/>
      <c r="T321" s="71" t="n"/>
      <c r="U321" s="71" t="n"/>
      <c r="V321" s="71" t="n"/>
      <c r="W321" s="71" t="n"/>
      <c r="X321" s="71" t="n"/>
    </row>
    <row r="322">
      <c r="A322" s="72" t="n"/>
      <c r="B322" s="72" t="n"/>
      <c r="C322" s="72" t="n"/>
      <c r="D322" s="72" t="n"/>
      <c r="E322" s="72" t="n"/>
      <c r="F322" s="73" t="n"/>
      <c r="G322" s="73" t="n"/>
      <c r="H322" s="72" t="n"/>
      <c r="I322" s="72" t="n"/>
      <c r="J322" s="72" t="n"/>
      <c r="K322" s="72" t="n"/>
      <c r="L322" s="72" t="n"/>
      <c r="M322" s="72" t="n"/>
      <c r="N322" s="72" t="n"/>
      <c r="O322" s="72" t="n"/>
      <c r="P322" s="72" t="n"/>
      <c r="Q322" s="72" t="n"/>
      <c r="R322" s="73" t="n"/>
      <c r="S322" s="73" t="n"/>
      <c r="T322" s="72" t="n"/>
      <c r="U322" s="72" t="n"/>
      <c r="V322" s="72" t="n"/>
      <c r="W322" s="72" t="n"/>
      <c r="X322" s="72" t="n"/>
    </row>
    <row r="323">
      <c r="A323" s="71" t="n"/>
      <c r="B323" s="71" t="n"/>
      <c r="C323" s="71" t="n"/>
      <c r="D323" s="71" t="n"/>
      <c r="E323" s="71" t="n"/>
      <c r="F323" s="46" t="n"/>
      <c r="G323" s="46" t="n"/>
      <c r="H323" s="71" t="n"/>
      <c r="I323" s="71" t="n"/>
      <c r="J323" s="71" t="n"/>
      <c r="K323" s="71" t="n"/>
      <c r="L323" s="71" t="n"/>
      <c r="M323" s="71" t="n"/>
      <c r="N323" s="71" t="n"/>
      <c r="O323" s="71" t="n"/>
      <c r="P323" s="71" t="n"/>
      <c r="Q323" s="71" t="n"/>
      <c r="R323" s="46" t="n"/>
      <c r="S323" s="46" t="n"/>
      <c r="T323" s="71" t="n"/>
      <c r="U323" s="71" t="n"/>
      <c r="V323" s="71" t="n"/>
      <c r="W323" s="71" t="n"/>
      <c r="X323" s="71" t="n"/>
    </row>
    <row r="324">
      <c r="A324" s="72" t="n"/>
      <c r="B324" s="72" t="n"/>
      <c r="C324" s="72" t="n"/>
      <c r="D324" s="72" t="n"/>
      <c r="E324" s="72" t="n"/>
      <c r="F324" s="73" t="n"/>
      <c r="G324" s="73" t="n"/>
      <c r="H324" s="72" t="n"/>
      <c r="I324" s="72" t="n"/>
      <c r="J324" s="72" t="n"/>
      <c r="K324" s="72" t="n"/>
      <c r="L324" s="72" t="n"/>
      <c r="M324" s="72" t="n"/>
      <c r="N324" s="72" t="n"/>
      <c r="O324" s="72" t="n"/>
      <c r="P324" s="72" t="n"/>
      <c r="Q324" s="72" t="n"/>
      <c r="R324" s="73" t="n"/>
      <c r="S324" s="73" t="n"/>
      <c r="T324" s="72" t="n"/>
      <c r="U324" s="72" t="n"/>
      <c r="V324" s="72" t="n"/>
      <c r="W324" s="72" t="n"/>
      <c r="X324" s="72" t="n"/>
    </row>
    <row r="325">
      <c r="A325" s="71" t="n"/>
      <c r="B325" s="71" t="n"/>
      <c r="C325" s="71" t="n"/>
      <c r="D325" s="71" t="n"/>
      <c r="E325" s="71" t="n"/>
      <c r="F325" s="46" t="n"/>
      <c r="G325" s="46" t="n"/>
      <c r="H325" s="71" t="n"/>
      <c r="I325" s="71" t="n"/>
      <c r="J325" s="71" t="n"/>
      <c r="K325" s="71" t="n"/>
      <c r="L325" s="71" t="n"/>
      <c r="M325" s="71" t="n"/>
      <c r="N325" s="71" t="n"/>
      <c r="O325" s="71" t="n"/>
      <c r="P325" s="71" t="n"/>
      <c r="Q325" s="71" t="n"/>
      <c r="R325" s="46" t="n"/>
      <c r="S325" s="46" t="n"/>
      <c r="T325" s="71" t="n"/>
      <c r="U325" s="71" t="n"/>
      <c r="V325" s="71" t="n"/>
      <c r="W325" s="71" t="n"/>
      <c r="X325" s="71" t="n"/>
    </row>
    <row r="326">
      <c r="A326" s="72" t="n"/>
      <c r="B326" s="72" t="n"/>
      <c r="C326" s="72" t="n"/>
      <c r="D326" s="72" t="n"/>
      <c r="E326" s="72" t="n"/>
      <c r="F326" s="73" t="n"/>
      <c r="G326" s="73" t="n"/>
      <c r="H326" s="72" t="n"/>
      <c r="I326" s="72" t="n"/>
      <c r="J326" s="72" t="n"/>
      <c r="K326" s="72" t="n"/>
      <c r="L326" s="72" t="n"/>
      <c r="M326" s="72" t="n"/>
      <c r="N326" s="72" t="n"/>
      <c r="O326" s="72" t="n"/>
      <c r="P326" s="72" t="n"/>
      <c r="Q326" s="72" t="n"/>
      <c r="R326" s="73" t="n"/>
      <c r="S326" s="73" t="n"/>
      <c r="T326" s="72" t="n"/>
      <c r="U326" s="72" t="n"/>
      <c r="V326" s="72" t="n"/>
      <c r="W326" s="72" t="n"/>
      <c r="X326" s="72" t="n"/>
    </row>
    <row r="327">
      <c r="A327" s="71" t="n"/>
      <c r="B327" s="71" t="n"/>
      <c r="C327" s="71" t="n"/>
      <c r="D327" s="71" t="n"/>
      <c r="E327" s="71" t="n"/>
      <c r="F327" s="46" t="n"/>
      <c r="G327" s="46" t="n"/>
      <c r="H327" s="71" t="n"/>
      <c r="I327" s="71" t="n"/>
      <c r="J327" s="71" t="n"/>
      <c r="K327" s="71" t="n"/>
      <c r="L327" s="71" t="n"/>
      <c r="M327" s="71" t="n"/>
      <c r="N327" s="71" t="n"/>
      <c r="O327" s="71" t="n"/>
      <c r="P327" s="71" t="n"/>
      <c r="Q327" s="71" t="n"/>
      <c r="R327" s="46" t="n"/>
      <c r="S327" s="46" t="n"/>
      <c r="T327" s="71" t="n"/>
      <c r="U327" s="71" t="n"/>
      <c r="V327" s="71" t="n"/>
      <c r="W327" s="71" t="n"/>
      <c r="X327" s="71" t="n"/>
    </row>
    <row r="328">
      <c r="A328" s="72" t="n"/>
      <c r="B328" s="72" t="n"/>
      <c r="C328" s="72" t="n"/>
      <c r="D328" s="72" t="n"/>
      <c r="E328" s="72" t="n"/>
      <c r="F328" s="73" t="n"/>
      <c r="G328" s="73" t="n"/>
      <c r="H328" s="72" t="n"/>
      <c r="I328" s="72" t="n"/>
      <c r="J328" s="72" t="n"/>
      <c r="K328" s="72" t="n"/>
      <c r="L328" s="72" t="n"/>
      <c r="M328" s="72" t="n"/>
      <c r="N328" s="72" t="n"/>
      <c r="O328" s="72" t="n"/>
      <c r="P328" s="72" t="n"/>
      <c r="Q328" s="72" t="n"/>
      <c r="R328" s="73" t="n"/>
      <c r="S328" s="73" t="n"/>
      <c r="T328" s="72" t="n"/>
      <c r="U328" s="72" t="n"/>
      <c r="V328" s="72" t="n"/>
      <c r="W328" s="72" t="n"/>
      <c r="X328" s="72" t="n"/>
    </row>
    <row r="329">
      <c r="A329" s="71" t="n"/>
      <c r="B329" s="71" t="n"/>
      <c r="C329" s="71" t="n"/>
      <c r="D329" s="71" t="n"/>
      <c r="E329" s="71" t="n"/>
      <c r="F329" s="46" t="n"/>
      <c r="G329" s="46" t="n"/>
      <c r="H329" s="71" t="n"/>
      <c r="I329" s="71" t="n"/>
      <c r="J329" s="71" t="n"/>
      <c r="K329" s="71" t="n"/>
      <c r="L329" s="71" t="n"/>
      <c r="M329" s="71" t="n"/>
      <c r="N329" s="71" t="n"/>
      <c r="O329" s="71" t="n"/>
      <c r="P329" s="71" t="n"/>
      <c r="Q329" s="71" t="n"/>
      <c r="R329" s="46" t="n"/>
      <c r="S329" s="46" t="n"/>
      <c r="T329" s="71" t="n"/>
      <c r="U329" s="71" t="n"/>
      <c r="V329" s="71" t="n"/>
      <c r="W329" s="71" t="n"/>
      <c r="X329" s="71" t="n"/>
    </row>
    <row r="330">
      <c r="A330" s="72" t="n"/>
      <c r="B330" s="72" t="n"/>
      <c r="C330" s="72" t="n"/>
      <c r="D330" s="72" t="n"/>
      <c r="E330" s="72" t="n"/>
      <c r="F330" s="73" t="n"/>
      <c r="G330" s="73" t="n"/>
      <c r="H330" s="72" t="n"/>
      <c r="I330" s="72" t="n"/>
      <c r="J330" s="72" t="n"/>
      <c r="K330" s="72" t="n"/>
      <c r="L330" s="72" t="n"/>
      <c r="M330" s="72" t="n"/>
      <c r="N330" s="72" t="n"/>
      <c r="O330" s="72" t="n"/>
      <c r="P330" s="72" t="n"/>
      <c r="Q330" s="72" t="n"/>
      <c r="R330" s="73" t="n"/>
      <c r="S330" s="73" t="n"/>
      <c r="T330" s="72" t="n"/>
      <c r="U330" s="72" t="n"/>
      <c r="V330" s="72" t="n"/>
      <c r="W330" s="72" t="n"/>
      <c r="X330" s="72" t="n"/>
    </row>
    <row r="331">
      <c r="A331" s="71" t="n"/>
      <c r="B331" s="71" t="n"/>
      <c r="C331" s="71" t="n"/>
      <c r="D331" s="71" t="n"/>
      <c r="E331" s="71" t="n"/>
      <c r="F331" s="46" t="n"/>
      <c r="G331" s="46" t="n"/>
      <c r="H331" s="71" t="n"/>
      <c r="I331" s="71" t="n"/>
      <c r="J331" s="71" t="n"/>
      <c r="K331" s="71" t="n"/>
      <c r="L331" s="71" t="n"/>
      <c r="M331" s="71" t="n"/>
      <c r="N331" s="71" t="n"/>
      <c r="O331" s="71" t="n"/>
      <c r="P331" s="71" t="n"/>
      <c r="Q331" s="71" t="n"/>
      <c r="R331" s="46" t="n"/>
      <c r="S331" s="46" t="n"/>
      <c r="T331" s="71" t="n"/>
      <c r="U331" s="71" t="n"/>
      <c r="V331" s="71" t="n"/>
      <c r="W331" s="71" t="n"/>
      <c r="X331" s="71" t="n"/>
    </row>
    <row r="332">
      <c r="A332" s="72" t="n"/>
      <c r="B332" s="72" t="n"/>
      <c r="C332" s="72" t="n"/>
      <c r="D332" s="72" t="n"/>
      <c r="E332" s="72" t="n"/>
      <c r="F332" s="73" t="n"/>
      <c r="G332" s="73" t="n"/>
      <c r="H332" s="72" t="n"/>
      <c r="I332" s="72" t="n"/>
      <c r="J332" s="72" t="n"/>
      <c r="K332" s="72" t="n"/>
      <c r="L332" s="72" t="n"/>
      <c r="M332" s="72" t="n"/>
      <c r="N332" s="72" t="n"/>
      <c r="O332" s="72" t="n"/>
      <c r="P332" s="72" t="n"/>
      <c r="Q332" s="72" t="n"/>
      <c r="R332" s="73" t="n"/>
      <c r="S332" s="73" t="n"/>
      <c r="T332" s="72" t="n"/>
      <c r="U332" s="72" t="n"/>
      <c r="V332" s="72" t="n"/>
      <c r="W332" s="72" t="n"/>
      <c r="X332" s="72" t="n"/>
    </row>
    <row r="333">
      <c r="A333" s="71" t="n"/>
      <c r="B333" s="71" t="n"/>
      <c r="C333" s="71" t="n"/>
      <c r="D333" s="71" t="n"/>
      <c r="E333" s="71" t="n"/>
      <c r="F333" s="46" t="n"/>
      <c r="G333" s="46" t="n"/>
      <c r="H333" s="71" t="n"/>
      <c r="I333" s="71" t="n"/>
      <c r="J333" s="71" t="n"/>
      <c r="K333" s="71" t="n"/>
      <c r="L333" s="71" t="n"/>
      <c r="M333" s="71" t="n"/>
      <c r="N333" s="71" t="n"/>
      <c r="O333" s="71" t="n"/>
      <c r="P333" s="71" t="n"/>
      <c r="Q333" s="71" t="n"/>
      <c r="R333" s="46" t="n"/>
      <c r="S333" s="46" t="n"/>
      <c r="T333" s="71" t="n"/>
      <c r="U333" s="71" t="n"/>
      <c r="V333" s="71" t="n"/>
      <c r="W333" s="71" t="n"/>
      <c r="X333" s="71" t="n"/>
    </row>
    <row r="334">
      <c r="A334" s="72" t="n"/>
      <c r="B334" s="72" t="n"/>
      <c r="C334" s="72" t="n"/>
      <c r="D334" s="72" t="n"/>
      <c r="E334" s="72" t="n"/>
      <c r="F334" s="73" t="n"/>
      <c r="G334" s="73" t="n"/>
      <c r="H334" s="72" t="n"/>
      <c r="I334" s="72" t="n"/>
      <c r="J334" s="72" t="n"/>
      <c r="K334" s="72" t="n"/>
      <c r="L334" s="72" t="n"/>
      <c r="M334" s="72" t="n"/>
      <c r="N334" s="72" t="n"/>
      <c r="O334" s="72" t="n"/>
      <c r="P334" s="72" t="n"/>
      <c r="Q334" s="72" t="n"/>
      <c r="R334" s="73" t="n"/>
      <c r="S334" s="73" t="n"/>
      <c r="T334" s="72" t="n"/>
      <c r="U334" s="72" t="n"/>
      <c r="V334" s="72" t="n"/>
      <c r="W334" s="72" t="n"/>
      <c r="X334" s="72" t="n"/>
    </row>
    <row r="335">
      <c r="A335" s="71" t="n"/>
      <c r="B335" s="71" t="n"/>
      <c r="C335" s="71" t="n"/>
      <c r="D335" s="71" t="n"/>
      <c r="E335" s="71" t="n"/>
      <c r="F335" s="46" t="n"/>
      <c r="G335" s="46" t="n"/>
      <c r="H335" s="71" t="n"/>
      <c r="I335" s="71" t="n"/>
      <c r="J335" s="71" t="n"/>
      <c r="K335" s="71" t="n"/>
      <c r="L335" s="71" t="n"/>
      <c r="M335" s="71" t="n"/>
      <c r="N335" s="71" t="n"/>
      <c r="O335" s="71" t="n"/>
      <c r="P335" s="71" t="n"/>
      <c r="Q335" s="71" t="n"/>
      <c r="R335" s="46" t="n"/>
      <c r="S335" s="46" t="n"/>
      <c r="T335" s="71" t="n"/>
      <c r="U335" s="71" t="n"/>
      <c r="V335" s="71" t="n"/>
      <c r="W335" s="71" t="n"/>
      <c r="X335" s="71" t="n"/>
    </row>
    <row r="336">
      <c r="A336" s="72" t="n"/>
      <c r="B336" s="72" t="n"/>
      <c r="C336" s="72" t="n"/>
      <c r="D336" s="72" t="n"/>
      <c r="E336" s="72" t="n"/>
      <c r="F336" s="73" t="n"/>
      <c r="G336" s="73" t="n"/>
      <c r="H336" s="72" t="n"/>
      <c r="I336" s="72" t="n"/>
      <c r="J336" s="72" t="n"/>
      <c r="K336" s="72" t="n"/>
      <c r="L336" s="72" t="n"/>
      <c r="M336" s="72" t="n"/>
      <c r="N336" s="72" t="n"/>
      <c r="O336" s="72" t="n"/>
      <c r="P336" s="72" t="n"/>
      <c r="Q336" s="72" t="n"/>
      <c r="R336" s="73" t="n"/>
      <c r="S336" s="73" t="n"/>
      <c r="T336" s="72" t="n"/>
      <c r="U336" s="72" t="n"/>
      <c r="V336" s="72" t="n"/>
      <c r="W336" s="72" t="n"/>
      <c r="X336" s="72" t="n"/>
    </row>
    <row r="337">
      <c r="A337" s="71" t="n"/>
      <c r="B337" s="71" t="n"/>
      <c r="C337" s="71" t="n"/>
      <c r="D337" s="71" t="n"/>
      <c r="E337" s="71" t="n"/>
      <c r="F337" s="46" t="n"/>
      <c r="G337" s="46" t="n"/>
      <c r="H337" s="71" t="n"/>
      <c r="I337" s="71" t="n"/>
      <c r="J337" s="71" t="n"/>
      <c r="K337" s="71" t="n"/>
      <c r="L337" s="71" t="n"/>
      <c r="M337" s="71" t="n"/>
      <c r="N337" s="71" t="n"/>
      <c r="O337" s="71" t="n"/>
      <c r="P337" s="71" t="n"/>
      <c r="Q337" s="71" t="n"/>
      <c r="R337" s="46" t="n"/>
      <c r="S337" s="46" t="n"/>
      <c r="T337" s="71" t="n"/>
      <c r="U337" s="71" t="n"/>
      <c r="V337" s="71" t="n"/>
      <c r="W337" s="71" t="n"/>
      <c r="X337" s="71" t="n"/>
    </row>
    <row r="338">
      <c r="A338" s="72" t="n"/>
      <c r="B338" s="72" t="n"/>
      <c r="C338" s="72" t="n"/>
      <c r="D338" s="72" t="n"/>
      <c r="E338" s="72" t="n"/>
      <c r="F338" s="73" t="n"/>
      <c r="G338" s="73" t="n"/>
      <c r="H338" s="72" t="n"/>
      <c r="I338" s="72" t="n"/>
      <c r="J338" s="72" t="n"/>
      <c r="K338" s="72" t="n"/>
      <c r="L338" s="72" t="n"/>
      <c r="M338" s="72" t="n"/>
      <c r="N338" s="72" t="n"/>
      <c r="O338" s="72" t="n"/>
      <c r="P338" s="72" t="n"/>
      <c r="Q338" s="72" t="n"/>
      <c r="R338" s="73" t="n"/>
      <c r="S338" s="73" t="n"/>
      <c r="T338" s="72" t="n"/>
      <c r="U338" s="72" t="n"/>
      <c r="V338" s="72" t="n"/>
      <c r="W338" s="72" t="n"/>
      <c r="X338" s="72" t="n"/>
    </row>
    <row r="339">
      <c r="A339" s="71" t="n"/>
      <c r="B339" s="71" t="n"/>
      <c r="C339" s="71" t="n"/>
      <c r="D339" s="71" t="n"/>
      <c r="E339" s="71" t="n"/>
      <c r="F339" s="46" t="n"/>
      <c r="G339" s="46" t="n"/>
      <c r="H339" s="71" t="n"/>
      <c r="I339" s="71" t="n"/>
      <c r="J339" s="71" t="n"/>
      <c r="K339" s="71" t="n"/>
      <c r="L339" s="71" t="n"/>
      <c r="M339" s="71" t="n"/>
      <c r="N339" s="71" t="n"/>
      <c r="O339" s="71" t="n"/>
      <c r="P339" s="71" t="n"/>
      <c r="Q339" s="71" t="n"/>
      <c r="R339" s="46" t="n"/>
      <c r="S339" s="46" t="n"/>
      <c r="T339" s="71" t="n"/>
      <c r="U339" s="71" t="n"/>
      <c r="V339" s="71" t="n"/>
      <c r="W339" s="71" t="n"/>
      <c r="X339" s="71" t="n"/>
    </row>
    <row r="340">
      <c r="A340" s="72" t="n"/>
      <c r="B340" s="72" t="n"/>
      <c r="C340" s="72" t="n"/>
      <c r="D340" s="72" t="n"/>
      <c r="E340" s="72" t="n"/>
      <c r="F340" s="73" t="n"/>
      <c r="G340" s="73" t="n"/>
      <c r="H340" s="72" t="n"/>
      <c r="I340" s="72" t="n"/>
      <c r="J340" s="72" t="n"/>
      <c r="K340" s="72" t="n"/>
      <c r="L340" s="72" t="n"/>
      <c r="M340" s="72" t="n"/>
      <c r="N340" s="72" t="n"/>
      <c r="O340" s="72" t="n"/>
      <c r="P340" s="72" t="n"/>
      <c r="Q340" s="72" t="n"/>
      <c r="R340" s="73" t="n"/>
      <c r="S340" s="73" t="n"/>
      <c r="T340" s="72" t="n"/>
      <c r="U340" s="72" t="n"/>
      <c r="V340" s="72" t="n"/>
      <c r="W340" s="72" t="n"/>
      <c r="X340" s="72" t="n"/>
    </row>
    <row r="341">
      <c r="A341" s="71" t="n"/>
      <c r="B341" s="71" t="n"/>
      <c r="C341" s="71" t="n"/>
      <c r="D341" s="71" t="n"/>
      <c r="E341" s="71" t="n"/>
      <c r="F341" s="46" t="n"/>
      <c r="G341" s="46" t="n"/>
      <c r="H341" s="71" t="n"/>
      <c r="I341" s="71" t="n"/>
      <c r="J341" s="71" t="n"/>
      <c r="K341" s="71" t="n"/>
      <c r="L341" s="71" t="n"/>
      <c r="M341" s="71" t="n"/>
      <c r="N341" s="71" t="n"/>
      <c r="O341" s="71" t="n"/>
      <c r="P341" s="71" t="n"/>
      <c r="Q341" s="71" t="n"/>
      <c r="R341" s="46" t="n"/>
      <c r="S341" s="46" t="n"/>
      <c r="T341" s="71" t="n"/>
      <c r="U341" s="71" t="n"/>
      <c r="V341" s="71" t="n"/>
      <c r="W341" s="71" t="n"/>
      <c r="X341" s="71" t="n"/>
    </row>
    <row r="342">
      <c r="A342" s="72" t="n"/>
      <c r="B342" s="72" t="n"/>
      <c r="C342" s="72" t="n"/>
      <c r="D342" s="72" t="n"/>
      <c r="E342" s="72" t="n"/>
      <c r="F342" s="73" t="n"/>
      <c r="G342" s="73" t="n"/>
      <c r="H342" s="72" t="n"/>
      <c r="I342" s="72" t="n"/>
      <c r="J342" s="72" t="n"/>
      <c r="K342" s="72" t="n"/>
      <c r="L342" s="72" t="n"/>
      <c r="M342" s="72" t="n"/>
      <c r="N342" s="72" t="n"/>
      <c r="O342" s="72" t="n"/>
      <c r="P342" s="72" t="n"/>
      <c r="Q342" s="72" t="n"/>
      <c r="R342" s="73" t="n"/>
      <c r="S342" s="73" t="n"/>
      <c r="T342" s="72" t="n"/>
      <c r="U342" s="72" t="n"/>
      <c r="V342" s="72" t="n"/>
      <c r="W342" s="72" t="n"/>
      <c r="X342" s="72" t="n"/>
    </row>
    <row r="343">
      <c r="A343" s="71" t="n"/>
      <c r="B343" s="71" t="n"/>
      <c r="C343" s="71" t="n"/>
      <c r="D343" s="71" t="n"/>
      <c r="E343" s="71" t="n"/>
      <c r="F343" s="46" t="n"/>
      <c r="G343" s="46" t="n"/>
      <c r="H343" s="71" t="n"/>
      <c r="I343" s="71" t="n"/>
      <c r="J343" s="71" t="n"/>
      <c r="K343" s="71" t="n"/>
      <c r="L343" s="71" t="n"/>
      <c r="M343" s="71" t="n"/>
      <c r="N343" s="71" t="n"/>
      <c r="O343" s="71" t="n"/>
      <c r="P343" s="71" t="n"/>
      <c r="Q343" s="71" t="n"/>
      <c r="R343" s="46" t="n"/>
      <c r="S343" s="46" t="n"/>
      <c r="T343" s="71" t="n"/>
      <c r="U343" s="71" t="n"/>
      <c r="V343" s="71" t="n"/>
      <c r="W343" s="71" t="n"/>
      <c r="X343" s="71" t="n"/>
    </row>
    <row r="344">
      <c r="A344" s="72" t="n"/>
      <c r="B344" s="72" t="n"/>
      <c r="C344" s="72" t="n"/>
      <c r="D344" s="72" t="n"/>
      <c r="E344" s="72" t="n"/>
      <c r="F344" s="73" t="n"/>
      <c r="G344" s="73" t="n"/>
      <c r="H344" s="72" t="n"/>
      <c r="I344" s="72" t="n"/>
      <c r="J344" s="72" t="n"/>
      <c r="K344" s="72" t="n"/>
      <c r="L344" s="72" t="n"/>
      <c r="M344" s="72" t="n"/>
      <c r="N344" s="72" t="n"/>
      <c r="O344" s="72" t="n"/>
      <c r="P344" s="72" t="n"/>
      <c r="Q344" s="72" t="n"/>
      <c r="R344" s="73" t="n"/>
      <c r="S344" s="73" t="n"/>
      <c r="T344" s="72" t="n"/>
      <c r="U344" s="72" t="n"/>
      <c r="V344" s="72" t="n"/>
      <c r="W344" s="72" t="n"/>
      <c r="X344" s="72" t="n"/>
    </row>
    <row r="345">
      <c r="A345" s="71" t="n"/>
      <c r="B345" s="71" t="n"/>
      <c r="C345" s="71" t="n"/>
      <c r="D345" s="71" t="n"/>
      <c r="E345" s="71" t="n"/>
      <c r="F345" s="46" t="n"/>
      <c r="G345" s="46" t="n"/>
      <c r="H345" s="71" t="n"/>
      <c r="I345" s="71" t="n"/>
      <c r="J345" s="71" t="n"/>
      <c r="K345" s="71" t="n"/>
      <c r="L345" s="71" t="n"/>
      <c r="M345" s="71" t="n"/>
      <c r="N345" s="71" t="n"/>
      <c r="O345" s="71" t="n"/>
      <c r="P345" s="71" t="n"/>
      <c r="Q345" s="71" t="n"/>
      <c r="R345" s="46" t="n"/>
      <c r="S345" s="46" t="n"/>
      <c r="T345" s="71" t="n"/>
      <c r="U345" s="71" t="n"/>
      <c r="V345" s="71" t="n"/>
      <c r="W345" s="71" t="n"/>
      <c r="X345" s="71" t="n"/>
    </row>
    <row r="346">
      <c r="A346" s="72" t="n"/>
      <c r="B346" s="72" t="n"/>
      <c r="C346" s="72" t="n"/>
      <c r="D346" s="72" t="n"/>
      <c r="E346" s="72" t="n"/>
      <c r="F346" s="73" t="n"/>
      <c r="G346" s="73" t="n"/>
      <c r="H346" s="72" t="n"/>
      <c r="I346" s="72" t="n"/>
      <c r="J346" s="72" t="n"/>
      <c r="K346" s="72" t="n"/>
      <c r="L346" s="72" t="n"/>
      <c r="M346" s="72" t="n"/>
      <c r="N346" s="72" t="n"/>
      <c r="O346" s="72" t="n"/>
      <c r="P346" s="72" t="n"/>
      <c r="Q346" s="72" t="n"/>
      <c r="R346" s="73" t="n"/>
      <c r="S346" s="73" t="n"/>
      <c r="T346" s="72" t="n"/>
      <c r="U346" s="72" t="n"/>
      <c r="V346" s="72" t="n"/>
      <c r="W346" s="72" t="n"/>
      <c r="X346" s="72" t="n"/>
    </row>
    <row r="347">
      <c r="A347" s="71" t="n"/>
      <c r="B347" s="71" t="n"/>
      <c r="C347" s="71" t="n"/>
      <c r="D347" s="71" t="n"/>
      <c r="E347" s="71" t="n"/>
      <c r="F347" s="46" t="n"/>
      <c r="G347" s="46" t="n"/>
      <c r="H347" s="71" t="n"/>
      <c r="I347" s="71" t="n"/>
      <c r="J347" s="71" t="n"/>
      <c r="K347" s="71" t="n"/>
      <c r="L347" s="71" t="n"/>
      <c r="M347" s="71" t="n"/>
      <c r="N347" s="71" t="n"/>
      <c r="O347" s="71" t="n"/>
      <c r="P347" s="71" t="n"/>
      <c r="Q347" s="71" t="n"/>
      <c r="R347" s="46" t="n"/>
      <c r="S347" s="46" t="n"/>
      <c r="T347" s="71" t="n"/>
      <c r="U347" s="71" t="n"/>
      <c r="V347" s="71" t="n"/>
      <c r="W347" s="71" t="n"/>
      <c r="X347" s="71" t="n"/>
    </row>
    <row r="348">
      <c r="A348" s="72" t="n"/>
      <c r="B348" s="72" t="n"/>
      <c r="C348" s="72" t="n"/>
      <c r="D348" s="72" t="n"/>
      <c r="E348" s="72" t="n"/>
      <c r="F348" s="73" t="n"/>
      <c r="G348" s="73" t="n"/>
      <c r="H348" s="72" t="n"/>
      <c r="I348" s="72" t="n"/>
      <c r="J348" s="72" t="n"/>
      <c r="K348" s="72" t="n"/>
      <c r="L348" s="72" t="n"/>
      <c r="M348" s="72" t="n"/>
      <c r="N348" s="72" t="n"/>
      <c r="O348" s="72" t="n"/>
      <c r="P348" s="72" t="n"/>
      <c r="Q348" s="72" t="n"/>
      <c r="R348" s="73" t="n"/>
      <c r="S348" s="73" t="n"/>
      <c r="T348" s="72" t="n"/>
      <c r="U348" s="72" t="n"/>
      <c r="V348" s="72" t="n"/>
      <c r="W348" s="72" t="n"/>
      <c r="X348" s="72" t="n"/>
    </row>
    <row r="349">
      <c r="A349" s="71" t="n"/>
      <c r="B349" s="71" t="n"/>
      <c r="C349" s="71" t="n"/>
      <c r="D349" s="71" t="n"/>
      <c r="E349" s="71" t="n"/>
      <c r="F349" s="46" t="n"/>
      <c r="G349" s="46" t="n"/>
      <c r="H349" s="71" t="n"/>
      <c r="I349" s="71" t="n"/>
      <c r="J349" s="71" t="n"/>
      <c r="K349" s="71" t="n"/>
      <c r="L349" s="71" t="n"/>
      <c r="M349" s="71" t="n"/>
      <c r="N349" s="71" t="n"/>
      <c r="O349" s="71" t="n"/>
      <c r="P349" s="71" t="n"/>
      <c r="Q349" s="71" t="n"/>
      <c r="R349" s="46" t="n"/>
      <c r="S349" s="46" t="n"/>
      <c r="T349" s="71" t="n"/>
      <c r="U349" s="71" t="n"/>
      <c r="V349" s="71" t="n"/>
      <c r="W349" s="71" t="n"/>
      <c r="X349" s="71" t="n"/>
    </row>
    <row r="350">
      <c r="A350" s="72" t="n"/>
      <c r="B350" s="72" t="n"/>
      <c r="C350" s="72" t="n"/>
      <c r="D350" s="72" t="n"/>
      <c r="E350" s="72" t="n"/>
      <c r="F350" s="73" t="n"/>
      <c r="G350" s="73" t="n"/>
      <c r="H350" s="72" t="n"/>
      <c r="I350" s="72" t="n"/>
      <c r="J350" s="72" t="n"/>
      <c r="K350" s="72" t="n"/>
      <c r="L350" s="72" t="n"/>
      <c r="M350" s="72" t="n"/>
      <c r="N350" s="72" t="n"/>
      <c r="O350" s="72" t="n"/>
      <c r="P350" s="72" t="n"/>
      <c r="Q350" s="72" t="n"/>
      <c r="R350" s="73" t="n"/>
      <c r="S350" s="73" t="n"/>
      <c r="T350" s="72" t="n"/>
      <c r="U350" s="72" t="n"/>
      <c r="V350" s="72" t="n"/>
      <c r="W350" s="72" t="n"/>
      <c r="X350" s="72" t="n"/>
    </row>
    <row r="351">
      <c r="A351" s="71" t="n"/>
      <c r="B351" s="71" t="n"/>
      <c r="C351" s="71" t="n"/>
      <c r="D351" s="71" t="n"/>
      <c r="E351" s="71" t="n"/>
      <c r="F351" s="46" t="n"/>
      <c r="G351" s="46" t="n"/>
      <c r="H351" s="71" t="n"/>
      <c r="I351" s="71" t="n"/>
      <c r="J351" s="71" t="n"/>
      <c r="K351" s="71" t="n"/>
      <c r="L351" s="71" t="n"/>
      <c r="M351" s="71" t="n"/>
      <c r="N351" s="71" t="n"/>
      <c r="O351" s="71" t="n"/>
      <c r="P351" s="71" t="n"/>
      <c r="Q351" s="71" t="n"/>
      <c r="R351" s="46" t="n"/>
      <c r="S351" s="46" t="n"/>
      <c r="T351" s="71" t="n"/>
      <c r="U351" s="71" t="n"/>
      <c r="V351" s="71" t="n"/>
      <c r="W351" s="71" t="n"/>
      <c r="X351" s="71" t="n"/>
    </row>
    <row r="352">
      <c r="A352" s="72" t="n"/>
      <c r="B352" s="72" t="n"/>
      <c r="C352" s="72" t="n"/>
      <c r="D352" s="72" t="n"/>
      <c r="E352" s="72" t="n"/>
      <c r="F352" s="73" t="n"/>
      <c r="G352" s="73" t="n"/>
      <c r="H352" s="72" t="n"/>
      <c r="I352" s="72" t="n"/>
      <c r="J352" s="72" t="n"/>
      <c r="K352" s="72" t="n"/>
      <c r="L352" s="72" t="n"/>
      <c r="M352" s="72" t="n"/>
      <c r="N352" s="72" t="n"/>
      <c r="O352" s="72" t="n"/>
      <c r="P352" s="72" t="n"/>
      <c r="Q352" s="72" t="n"/>
      <c r="R352" s="73" t="n"/>
      <c r="S352" s="73" t="n"/>
      <c r="T352" s="72" t="n"/>
      <c r="U352" s="72" t="n"/>
      <c r="V352" s="72" t="n"/>
      <c r="W352" s="72" t="n"/>
      <c r="X352" s="72" t="n"/>
    </row>
    <row r="353">
      <c r="A353" s="71" t="n"/>
      <c r="B353" s="71" t="n"/>
      <c r="C353" s="71" t="n"/>
      <c r="D353" s="71" t="n"/>
      <c r="E353" s="71" t="n"/>
      <c r="F353" s="46" t="n"/>
      <c r="G353" s="46" t="n"/>
      <c r="H353" s="71" t="n"/>
      <c r="I353" s="71" t="n"/>
      <c r="J353" s="71" t="n"/>
      <c r="K353" s="71" t="n"/>
      <c r="L353" s="71" t="n"/>
      <c r="M353" s="71" t="n"/>
      <c r="N353" s="71" t="n"/>
      <c r="O353" s="71" t="n"/>
      <c r="P353" s="71" t="n"/>
      <c r="Q353" s="71" t="n"/>
      <c r="R353" s="46" t="n"/>
      <c r="S353" s="46" t="n"/>
      <c r="T353" s="71" t="n"/>
      <c r="U353" s="71" t="n"/>
      <c r="V353" s="71" t="n"/>
      <c r="W353" s="71" t="n"/>
      <c r="X353" s="71" t="n"/>
    </row>
    <row r="354">
      <c r="A354" s="72" t="n"/>
      <c r="B354" s="72" t="n"/>
      <c r="C354" s="72" t="n"/>
      <c r="D354" s="72" t="n"/>
      <c r="E354" s="72" t="n"/>
      <c r="F354" s="73" t="n"/>
      <c r="G354" s="73" t="n"/>
      <c r="H354" s="72" t="n"/>
      <c r="I354" s="72" t="n"/>
      <c r="J354" s="72" t="n"/>
      <c r="K354" s="72" t="n"/>
      <c r="L354" s="72" t="n"/>
      <c r="M354" s="72" t="n"/>
      <c r="N354" s="72" t="n"/>
      <c r="O354" s="72" t="n"/>
      <c r="P354" s="72" t="n"/>
      <c r="Q354" s="72" t="n"/>
      <c r="R354" s="73" t="n"/>
      <c r="S354" s="73" t="n"/>
      <c r="T354" s="72" t="n"/>
      <c r="U354" s="72" t="n"/>
      <c r="V354" s="72" t="n"/>
      <c r="W354" s="72" t="n"/>
      <c r="X354" s="72" t="n"/>
    </row>
    <row r="355">
      <c r="A355" s="71" t="n"/>
      <c r="B355" s="71" t="n"/>
      <c r="C355" s="71" t="n"/>
      <c r="D355" s="71" t="n"/>
      <c r="E355" s="71" t="n"/>
      <c r="F355" s="46" t="n"/>
      <c r="G355" s="46" t="n"/>
      <c r="H355" s="71" t="n"/>
      <c r="I355" s="71" t="n"/>
      <c r="J355" s="71" t="n"/>
      <c r="K355" s="71" t="n"/>
      <c r="L355" s="71" t="n"/>
      <c r="M355" s="71" t="n"/>
      <c r="N355" s="71" t="n"/>
      <c r="O355" s="71" t="n"/>
      <c r="P355" s="71" t="n"/>
      <c r="Q355" s="71" t="n"/>
      <c r="R355" s="46" t="n"/>
      <c r="S355" s="46" t="n"/>
      <c r="T355" s="71" t="n"/>
      <c r="U355" s="71" t="n"/>
      <c r="V355" s="71" t="n"/>
      <c r="W355" s="71" t="n"/>
      <c r="X355" s="71" t="n"/>
    </row>
    <row r="356">
      <c r="A356" s="72" t="n"/>
      <c r="B356" s="72" t="n"/>
      <c r="C356" s="72" t="n"/>
      <c r="D356" s="72" t="n"/>
      <c r="E356" s="72" t="n"/>
      <c r="F356" s="73" t="n"/>
      <c r="G356" s="73" t="n"/>
      <c r="H356" s="72" t="n"/>
      <c r="I356" s="72" t="n"/>
      <c r="J356" s="72" t="n"/>
      <c r="K356" s="72" t="n"/>
      <c r="L356" s="72" t="n"/>
      <c r="M356" s="72" t="n"/>
      <c r="N356" s="72" t="n"/>
      <c r="O356" s="72" t="n"/>
      <c r="P356" s="72" t="n"/>
      <c r="Q356" s="72" t="n"/>
      <c r="R356" s="73" t="n"/>
      <c r="S356" s="73" t="n"/>
      <c r="T356" s="72" t="n"/>
      <c r="U356" s="72" t="n"/>
      <c r="V356" s="72" t="n"/>
      <c r="W356" s="72" t="n"/>
      <c r="X356" s="72" t="n"/>
    </row>
    <row r="357">
      <c r="A357" s="71" t="n"/>
      <c r="B357" s="71" t="n"/>
      <c r="C357" s="71" t="n"/>
      <c r="D357" s="71" t="n"/>
      <c r="E357" s="71" t="n"/>
      <c r="F357" s="46" t="n"/>
      <c r="G357" s="46" t="n"/>
      <c r="H357" s="71" t="n"/>
      <c r="I357" s="71" t="n"/>
      <c r="J357" s="71" t="n"/>
      <c r="K357" s="71" t="n"/>
      <c r="L357" s="71" t="n"/>
      <c r="M357" s="71" t="n"/>
      <c r="N357" s="71" t="n"/>
      <c r="O357" s="71" t="n"/>
      <c r="P357" s="71" t="n"/>
      <c r="Q357" s="71" t="n"/>
      <c r="R357" s="46" t="n"/>
      <c r="S357" s="46" t="n"/>
      <c r="T357" s="71" t="n"/>
      <c r="U357" s="71" t="n"/>
      <c r="V357" s="71" t="n"/>
      <c r="W357" s="71" t="n"/>
      <c r="X357" s="71" t="n"/>
    </row>
    <row r="358">
      <c r="A358" s="72" t="n"/>
      <c r="B358" s="72" t="n"/>
      <c r="C358" s="72" t="n"/>
      <c r="D358" s="72" t="n"/>
      <c r="E358" s="72" t="n"/>
      <c r="F358" s="73" t="n"/>
      <c r="G358" s="73" t="n"/>
      <c r="H358" s="72" t="n"/>
      <c r="I358" s="72" t="n"/>
      <c r="J358" s="72" t="n"/>
      <c r="K358" s="72" t="n"/>
      <c r="L358" s="72" t="n"/>
      <c r="M358" s="72" t="n"/>
      <c r="N358" s="72" t="n"/>
      <c r="O358" s="72" t="n"/>
      <c r="P358" s="72" t="n"/>
      <c r="Q358" s="72" t="n"/>
      <c r="R358" s="73" t="n"/>
      <c r="S358" s="73" t="n"/>
      <c r="T358" s="72" t="n"/>
      <c r="U358" s="72" t="n"/>
      <c r="V358" s="72" t="n"/>
      <c r="W358" s="72" t="n"/>
      <c r="X358" s="72" t="n"/>
    </row>
    <row r="359">
      <c r="A359" s="71" t="n"/>
      <c r="B359" s="71" t="n"/>
      <c r="C359" s="71" t="n"/>
      <c r="D359" s="71" t="n"/>
      <c r="E359" s="71" t="n"/>
      <c r="F359" s="46" t="n"/>
      <c r="G359" s="46" t="n"/>
      <c r="H359" s="71" t="n"/>
      <c r="I359" s="71" t="n"/>
      <c r="J359" s="71" t="n"/>
      <c r="K359" s="71" t="n"/>
      <c r="L359" s="71" t="n"/>
      <c r="M359" s="71" t="n"/>
      <c r="N359" s="71" t="n"/>
      <c r="O359" s="71" t="n"/>
      <c r="P359" s="71" t="n"/>
      <c r="Q359" s="71" t="n"/>
      <c r="R359" s="46" t="n"/>
      <c r="S359" s="46" t="n"/>
      <c r="T359" s="71" t="n"/>
      <c r="U359" s="71" t="n"/>
      <c r="V359" s="71" t="n"/>
      <c r="W359" s="71" t="n"/>
      <c r="X359" s="71" t="n"/>
    </row>
    <row r="360">
      <c r="A360" s="72" t="n"/>
      <c r="B360" s="72" t="n"/>
      <c r="C360" s="72" t="n"/>
      <c r="D360" s="72" t="n"/>
      <c r="E360" s="72" t="n"/>
      <c r="F360" s="73" t="n"/>
      <c r="G360" s="73" t="n"/>
      <c r="H360" s="72" t="n"/>
      <c r="I360" s="72" t="n"/>
      <c r="J360" s="72" t="n"/>
      <c r="K360" s="72" t="n"/>
      <c r="L360" s="72" t="n"/>
      <c r="M360" s="72" t="n"/>
      <c r="N360" s="72" t="n"/>
      <c r="O360" s="72" t="n"/>
      <c r="P360" s="72" t="n"/>
      <c r="Q360" s="72" t="n"/>
      <c r="R360" s="73" t="n"/>
      <c r="S360" s="73" t="n"/>
      <c r="T360" s="72" t="n"/>
      <c r="U360" s="72" t="n"/>
      <c r="V360" s="72" t="n"/>
      <c r="W360" s="72" t="n"/>
      <c r="X360" s="72" t="n"/>
    </row>
    <row r="361">
      <c r="A361" s="71" t="n"/>
      <c r="B361" s="71" t="n"/>
      <c r="C361" s="71" t="n"/>
      <c r="D361" s="71" t="n"/>
      <c r="E361" s="71" t="n"/>
      <c r="F361" s="46" t="n"/>
      <c r="G361" s="46" t="n"/>
      <c r="H361" s="71" t="n"/>
      <c r="I361" s="71" t="n"/>
      <c r="J361" s="71" t="n"/>
      <c r="K361" s="71" t="n"/>
      <c r="L361" s="71" t="n"/>
      <c r="M361" s="71" t="n"/>
      <c r="N361" s="71" t="n"/>
      <c r="O361" s="71" t="n"/>
      <c r="P361" s="71" t="n"/>
      <c r="Q361" s="71" t="n"/>
      <c r="R361" s="46" t="n"/>
      <c r="S361" s="46" t="n"/>
      <c r="T361" s="71" t="n"/>
      <c r="U361" s="71" t="n"/>
      <c r="V361" s="71" t="n"/>
      <c r="W361" s="71" t="n"/>
      <c r="X361" s="71" t="n"/>
    </row>
    <row r="362">
      <c r="A362" s="72" t="n"/>
      <c r="B362" s="72" t="n"/>
      <c r="C362" s="72" t="n"/>
      <c r="D362" s="72" t="n"/>
      <c r="E362" s="72" t="n"/>
      <c r="F362" s="73" t="n"/>
      <c r="G362" s="73" t="n"/>
      <c r="H362" s="72" t="n"/>
      <c r="I362" s="72" t="n"/>
      <c r="J362" s="72" t="n"/>
      <c r="K362" s="72" t="n"/>
      <c r="L362" s="72" t="n"/>
      <c r="M362" s="72" t="n"/>
      <c r="N362" s="72" t="n"/>
      <c r="O362" s="72" t="n"/>
      <c r="P362" s="72" t="n"/>
      <c r="Q362" s="72" t="n"/>
      <c r="R362" s="73" t="n"/>
      <c r="S362" s="73" t="n"/>
      <c r="T362" s="72" t="n"/>
      <c r="U362" s="72" t="n"/>
      <c r="V362" s="72" t="n"/>
      <c r="W362" s="72" t="n"/>
      <c r="X362" s="72" t="n"/>
    </row>
    <row r="363">
      <c r="A363" s="71" t="n"/>
      <c r="B363" s="71" t="n"/>
      <c r="C363" s="71" t="n"/>
      <c r="D363" s="71" t="n"/>
      <c r="E363" s="71" t="n"/>
      <c r="F363" s="46" t="n"/>
      <c r="G363" s="46" t="n"/>
      <c r="H363" s="71" t="n"/>
      <c r="I363" s="71" t="n"/>
      <c r="J363" s="71" t="n"/>
      <c r="K363" s="71" t="n"/>
      <c r="L363" s="71" t="n"/>
      <c r="M363" s="71" t="n"/>
      <c r="N363" s="71" t="n"/>
      <c r="O363" s="71" t="n"/>
      <c r="P363" s="71" t="n"/>
      <c r="Q363" s="71" t="n"/>
      <c r="R363" s="46" t="n"/>
      <c r="S363" s="46" t="n"/>
      <c r="T363" s="71" t="n"/>
      <c r="U363" s="71" t="n"/>
      <c r="V363" s="71" t="n"/>
      <c r="W363" s="71" t="n"/>
      <c r="X363" s="71" t="n"/>
    </row>
    <row r="364">
      <c r="A364" s="72" t="n"/>
      <c r="B364" s="72" t="n"/>
      <c r="C364" s="72" t="n"/>
      <c r="D364" s="72" t="n"/>
      <c r="E364" s="72" t="n"/>
      <c r="F364" s="73" t="n"/>
      <c r="G364" s="73" t="n"/>
      <c r="H364" s="72" t="n"/>
      <c r="I364" s="72" t="n"/>
      <c r="J364" s="72" t="n"/>
      <c r="K364" s="72" t="n"/>
      <c r="L364" s="72" t="n"/>
      <c r="M364" s="72" t="n"/>
      <c r="N364" s="72" t="n"/>
      <c r="O364" s="72" t="n"/>
      <c r="P364" s="72" t="n"/>
      <c r="Q364" s="72" t="n"/>
      <c r="R364" s="73" t="n"/>
      <c r="S364" s="73" t="n"/>
      <c r="T364" s="72" t="n"/>
      <c r="U364" s="72" t="n"/>
      <c r="V364" s="72" t="n"/>
      <c r="W364" s="72" t="n"/>
      <c r="X364" s="72" t="n"/>
    </row>
    <row r="365">
      <c r="A365" s="71" t="n"/>
      <c r="B365" s="71" t="n"/>
      <c r="C365" s="71" t="n"/>
      <c r="D365" s="71" t="n"/>
      <c r="E365" s="71" t="n"/>
      <c r="F365" s="46" t="n"/>
      <c r="G365" s="46" t="n"/>
      <c r="H365" s="71" t="n"/>
      <c r="I365" s="71" t="n"/>
      <c r="J365" s="71" t="n"/>
      <c r="K365" s="71" t="n"/>
      <c r="L365" s="71" t="n"/>
      <c r="M365" s="71" t="n"/>
      <c r="N365" s="71" t="n"/>
      <c r="O365" s="71" t="n"/>
      <c r="P365" s="71" t="n"/>
      <c r="Q365" s="71" t="n"/>
      <c r="R365" s="46" t="n"/>
      <c r="S365" s="46" t="n"/>
      <c r="T365" s="71" t="n"/>
      <c r="U365" s="71" t="n"/>
      <c r="V365" s="71" t="n"/>
      <c r="W365" s="71" t="n"/>
      <c r="X365" s="71" t="n"/>
    </row>
    <row r="366">
      <c r="A366" s="72" t="n"/>
      <c r="B366" s="72" t="n"/>
      <c r="C366" s="72" t="n"/>
      <c r="D366" s="72" t="n"/>
      <c r="E366" s="72" t="n"/>
      <c r="F366" s="73" t="n"/>
      <c r="G366" s="73" t="n"/>
      <c r="H366" s="72" t="n"/>
      <c r="I366" s="72" t="n"/>
      <c r="J366" s="72" t="n"/>
      <c r="K366" s="72" t="n"/>
      <c r="L366" s="72" t="n"/>
      <c r="M366" s="72" t="n"/>
      <c r="N366" s="72" t="n"/>
      <c r="O366" s="72" t="n"/>
      <c r="P366" s="72" t="n"/>
      <c r="Q366" s="72" t="n"/>
      <c r="R366" s="73" t="n"/>
      <c r="S366" s="73" t="n"/>
      <c r="T366" s="72" t="n"/>
      <c r="U366" s="72" t="n"/>
      <c r="V366" s="72" t="n"/>
      <c r="W366" s="72" t="n"/>
      <c r="X366" s="72" t="n"/>
    </row>
    <row r="367">
      <c r="A367" s="71" t="n"/>
      <c r="B367" s="71" t="n"/>
      <c r="C367" s="71" t="n"/>
      <c r="D367" s="71" t="n"/>
      <c r="E367" s="71" t="n"/>
      <c r="F367" s="46" t="n"/>
      <c r="G367" s="46" t="n"/>
      <c r="H367" s="71" t="n"/>
      <c r="I367" s="71" t="n"/>
      <c r="J367" s="71" t="n"/>
      <c r="K367" s="71" t="n"/>
      <c r="L367" s="71" t="n"/>
      <c r="M367" s="71" t="n"/>
      <c r="N367" s="71" t="n"/>
      <c r="O367" s="71" t="n"/>
      <c r="P367" s="71" t="n"/>
      <c r="Q367" s="71" t="n"/>
      <c r="R367" s="46" t="n"/>
      <c r="S367" s="46" t="n"/>
      <c r="T367" s="71" t="n"/>
      <c r="U367" s="71" t="n"/>
      <c r="V367" s="71" t="n"/>
      <c r="W367" s="71" t="n"/>
      <c r="X367" s="71" t="n"/>
    </row>
    <row r="368">
      <c r="A368" s="72" t="n"/>
      <c r="B368" s="72" t="n"/>
      <c r="C368" s="72" t="n"/>
      <c r="D368" s="72" t="n"/>
      <c r="E368" s="72" t="n"/>
      <c r="F368" s="73" t="n"/>
      <c r="G368" s="73" t="n"/>
      <c r="H368" s="72" t="n"/>
      <c r="I368" s="72" t="n"/>
      <c r="J368" s="72" t="n"/>
      <c r="K368" s="72" t="n"/>
      <c r="L368" s="72" t="n"/>
      <c r="M368" s="72" t="n"/>
      <c r="N368" s="72" t="n"/>
      <c r="O368" s="72" t="n"/>
      <c r="P368" s="72" t="n"/>
      <c r="Q368" s="72" t="n"/>
      <c r="R368" s="73" t="n"/>
      <c r="S368" s="73" t="n"/>
      <c r="T368" s="72" t="n"/>
      <c r="U368" s="72" t="n"/>
      <c r="V368" s="72" t="n"/>
      <c r="W368" s="72" t="n"/>
      <c r="X368" s="72" t="n"/>
    </row>
    <row r="369">
      <c r="A369" s="71" t="n"/>
      <c r="B369" s="71" t="n"/>
      <c r="C369" s="71" t="n"/>
      <c r="D369" s="71" t="n"/>
      <c r="E369" s="71" t="n"/>
      <c r="F369" s="46" t="n"/>
      <c r="G369" s="46" t="n"/>
      <c r="H369" s="71" t="n"/>
      <c r="I369" s="71" t="n"/>
      <c r="J369" s="71" t="n"/>
      <c r="K369" s="71" t="n"/>
      <c r="L369" s="71" t="n"/>
      <c r="M369" s="71" t="n"/>
      <c r="N369" s="71" t="n"/>
      <c r="O369" s="71" t="n"/>
      <c r="P369" s="71" t="n"/>
      <c r="Q369" s="71" t="n"/>
      <c r="R369" s="46" t="n"/>
      <c r="S369" s="46" t="n"/>
      <c r="T369" s="71" t="n"/>
      <c r="U369" s="71" t="n"/>
      <c r="V369" s="71" t="n"/>
      <c r="W369" s="71" t="n"/>
      <c r="X369" s="71" t="n"/>
    </row>
    <row r="370">
      <c r="A370" s="72" t="n"/>
      <c r="B370" s="72" t="n"/>
      <c r="C370" s="72" t="n"/>
      <c r="D370" s="72" t="n"/>
      <c r="E370" s="72" t="n"/>
      <c r="F370" s="73" t="n"/>
      <c r="G370" s="73" t="n"/>
      <c r="H370" s="72" t="n"/>
      <c r="I370" s="72" t="n"/>
      <c r="J370" s="72" t="n"/>
      <c r="K370" s="72" t="n"/>
      <c r="L370" s="72" t="n"/>
      <c r="M370" s="72" t="n"/>
      <c r="N370" s="72" t="n"/>
      <c r="O370" s="72" t="n"/>
      <c r="P370" s="72" t="n"/>
      <c r="Q370" s="72" t="n"/>
      <c r="R370" s="73" t="n"/>
      <c r="S370" s="73" t="n"/>
      <c r="T370" s="72" t="n"/>
      <c r="U370" s="72" t="n"/>
      <c r="V370" s="72" t="n"/>
      <c r="W370" s="72" t="n"/>
      <c r="X370" s="72" t="n"/>
    </row>
    <row r="371">
      <c r="A371" s="71" t="n"/>
      <c r="B371" s="71" t="n"/>
      <c r="C371" s="71" t="n"/>
      <c r="D371" s="71" t="n"/>
      <c r="E371" s="71" t="n"/>
      <c r="F371" s="46" t="n"/>
      <c r="G371" s="46" t="n"/>
      <c r="H371" s="71" t="n"/>
      <c r="I371" s="71" t="n"/>
      <c r="J371" s="71" t="n"/>
      <c r="K371" s="71" t="n"/>
      <c r="L371" s="71" t="n"/>
      <c r="M371" s="71" t="n"/>
      <c r="N371" s="71" t="n"/>
      <c r="O371" s="71" t="n"/>
      <c r="P371" s="71" t="n"/>
      <c r="Q371" s="71" t="n"/>
      <c r="R371" s="46" t="n"/>
      <c r="S371" s="46" t="n"/>
      <c r="T371" s="71" t="n"/>
      <c r="U371" s="71" t="n"/>
      <c r="V371" s="71" t="n"/>
      <c r="W371" s="71" t="n"/>
      <c r="X371" s="71" t="n"/>
    </row>
    <row r="372">
      <c r="A372" s="72" t="n"/>
      <c r="B372" s="72" t="n"/>
      <c r="C372" s="72" t="n"/>
      <c r="D372" s="72" t="n"/>
      <c r="E372" s="72" t="n"/>
      <c r="F372" s="73" t="n"/>
      <c r="G372" s="73" t="n"/>
      <c r="H372" s="72" t="n"/>
      <c r="I372" s="72" t="n"/>
      <c r="J372" s="72" t="n"/>
      <c r="K372" s="72" t="n"/>
      <c r="L372" s="72" t="n"/>
      <c r="M372" s="72" t="n"/>
      <c r="N372" s="72" t="n"/>
      <c r="O372" s="72" t="n"/>
      <c r="P372" s="72" t="n"/>
      <c r="Q372" s="72" t="n"/>
      <c r="R372" s="73" t="n"/>
      <c r="S372" s="73" t="n"/>
      <c r="T372" s="72" t="n"/>
      <c r="U372" s="72" t="n"/>
      <c r="V372" s="72" t="n"/>
      <c r="W372" s="72" t="n"/>
      <c r="X372" s="72" t="n"/>
    </row>
    <row r="373">
      <c r="A373" s="71" t="n"/>
      <c r="B373" s="71" t="n"/>
      <c r="C373" s="71" t="n"/>
      <c r="D373" s="71" t="n"/>
      <c r="E373" s="71" t="n"/>
      <c r="F373" s="46" t="n"/>
      <c r="G373" s="46" t="n"/>
      <c r="H373" s="71" t="n"/>
      <c r="I373" s="71" t="n"/>
      <c r="J373" s="71" t="n"/>
      <c r="K373" s="71" t="n"/>
      <c r="L373" s="71" t="n"/>
      <c r="M373" s="71" t="n"/>
      <c r="N373" s="71" t="n"/>
      <c r="O373" s="71" t="n"/>
      <c r="P373" s="71" t="n"/>
      <c r="Q373" s="71" t="n"/>
      <c r="R373" s="46" t="n"/>
      <c r="S373" s="46" t="n"/>
      <c r="T373" s="71" t="n"/>
      <c r="U373" s="71" t="n"/>
      <c r="V373" s="71" t="n"/>
      <c r="W373" s="71" t="n"/>
      <c r="X373" s="71" t="n"/>
    </row>
    <row r="374">
      <c r="A374" s="72" t="n"/>
      <c r="B374" s="72" t="n"/>
      <c r="C374" s="72" t="n"/>
      <c r="D374" s="72" t="n"/>
      <c r="E374" s="72" t="n"/>
      <c r="F374" s="73" t="n"/>
      <c r="G374" s="73" t="n"/>
      <c r="H374" s="72" t="n"/>
      <c r="I374" s="72" t="n"/>
      <c r="J374" s="72" t="n"/>
      <c r="K374" s="72" t="n"/>
      <c r="L374" s="72" t="n"/>
      <c r="M374" s="72" t="n"/>
      <c r="N374" s="72" t="n"/>
      <c r="O374" s="72" t="n"/>
      <c r="P374" s="72" t="n"/>
      <c r="Q374" s="72" t="n"/>
      <c r="R374" s="73" t="n"/>
      <c r="S374" s="73" t="n"/>
      <c r="T374" s="72" t="n"/>
      <c r="U374" s="72" t="n"/>
      <c r="V374" s="72" t="n"/>
      <c r="W374" s="72" t="n"/>
      <c r="X374" s="72" t="n"/>
    </row>
    <row r="375">
      <c r="A375" s="71" t="n"/>
      <c r="B375" s="71" t="n"/>
      <c r="C375" s="71" t="n"/>
      <c r="D375" s="71" t="n"/>
      <c r="E375" s="71" t="n"/>
      <c r="F375" s="46" t="n"/>
      <c r="G375" s="46" t="n"/>
      <c r="H375" s="71" t="n"/>
      <c r="I375" s="71" t="n"/>
      <c r="J375" s="71" t="n"/>
      <c r="K375" s="71" t="n"/>
      <c r="L375" s="71" t="n"/>
      <c r="M375" s="71" t="n"/>
      <c r="N375" s="71" t="n"/>
      <c r="O375" s="71" t="n"/>
      <c r="P375" s="71" t="n"/>
      <c r="Q375" s="71" t="n"/>
      <c r="R375" s="46" t="n"/>
      <c r="S375" s="46" t="n"/>
      <c r="T375" s="71" t="n"/>
      <c r="U375" s="71" t="n"/>
      <c r="V375" s="71" t="n"/>
      <c r="W375" s="71" t="n"/>
      <c r="X375" s="71" t="n"/>
    </row>
    <row r="376">
      <c r="A376" s="72" t="n"/>
      <c r="B376" s="72" t="n"/>
      <c r="C376" s="72" t="n"/>
      <c r="D376" s="72" t="n"/>
      <c r="E376" s="72" t="n"/>
      <c r="F376" s="73" t="n"/>
      <c r="G376" s="73" t="n"/>
      <c r="H376" s="72" t="n"/>
      <c r="I376" s="72" t="n"/>
      <c r="J376" s="72" t="n"/>
      <c r="K376" s="72" t="n"/>
      <c r="L376" s="72" t="n"/>
      <c r="M376" s="72" t="n"/>
      <c r="N376" s="72" t="n"/>
      <c r="O376" s="72" t="n"/>
      <c r="P376" s="72" t="n"/>
      <c r="Q376" s="72" t="n"/>
      <c r="R376" s="73" t="n"/>
      <c r="S376" s="73" t="n"/>
      <c r="T376" s="72" t="n"/>
      <c r="U376" s="72" t="n"/>
      <c r="V376" s="72" t="n"/>
      <c r="W376" s="72" t="n"/>
      <c r="X376" s="72" t="n"/>
    </row>
    <row r="377">
      <c r="A377" s="71" t="n"/>
      <c r="B377" s="71" t="n"/>
      <c r="C377" s="71" t="n"/>
      <c r="D377" s="71" t="n"/>
      <c r="E377" s="71" t="n"/>
      <c r="F377" s="46" t="n"/>
      <c r="G377" s="46" t="n"/>
      <c r="H377" s="71" t="n"/>
      <c r="I377" s="71" t="n"/>
      <c r="J377" s="71" t="n"/>
      <c r="K377" s="71" t="n"/>
      <c r="L377" s="71" t="n"/>
      <c r="M377" s="71" t="n"/>
      <c r="N377" s="71" t="n"/>
      <c r="O377" s="71" t="n"/>
      <c r="P377" s="71" t="n"/>
      <c r="Q377" s="71" t="n"/>
      <c r="R377" s="46" t="n"/>
      <c r="S377" s="46" t="n"/>
      <c r="T377" s="71" t="n"/>
      <c r="U377" s="71" t="n"/>
      <c r="V377" s="71" t="n"/>
      <c r="W377" s="71" t="n"/>
      <c r="X377" s="71" t="n"/>
    </row>
    <row r="378">
      <c r="A378" s="72" t="n"/>
      <c r="B378" s="72" t="n"/>
      <c r="C378" s="72" t="n"/>
      <c r="D378" s="72" t="n"/>
      <c r="E378" s="72" t="n"/>
      <c r="F378" s="73" t="n"/>
      <c r="G378" s="73" t="n"/>
      <c r="H378" s="72" t="n"/>
      <c r="I378" s="72" t="n"/>
      <c r="J378" s="72" t="n"/>
      <c r="K378" s="72" t="n"/>
      <c r="L378" s="72" t="n"/>
      <c r="M378" s="72" t="n"/>
      <c r="N378" s="72" t="n"/>
      <c r="O378" s="72" t="n"/>
      <c r="P378" s="72" t="n"/>
      <c r="Q378" s="72" t="n"/>
      <c r="R378" s="73" t="n"/>
      <c r="S378" s="73" t="n"/>
      <c r="T378" s="72" t="n"/>
      <c r="U378" s="72" t="n"/>
      <c r="V378" s="72" t="n"/>
      <c r="W378" s="72" t="n"/>
      <c r="X378" s="72" t="n"/>
    </row>
    <row r="379">
      <c r="A379" s="71" t="n"/>
      <c r="B379" s="71" t="n"/>
      <c r="C379" s="71" t="n"/>
      <c r="D379" s="71" t="n"/>
      <c r="E379" s="71" t="n"/>
      <c r="F379" s="46" t="n"/>
      <c r="G379" s="46" t="n"/>
      <c r="H379" s="71" t="n"/>
      <c r="I379" s="71" t="n"/>
      <c r="J379" s="71" t="n"/>
      <c r="K379" s="71" t="n"/>
      <c r="L379" s="71" t="n"/>
      <c r="M379" s="71" t="n"/>
      <c r="N379" s="71" t="n"/>
      <c r="O379" s="71" t="n"/>
      <c r="P379" s="71" t="n"/>
      <c r="Q379" s="71" t="n"/>
      <c r="R379" s="46" t="n"/>
      <c r="S379" s="46" t="n"/>
      <c r="T379" s="71" t="n"/>
      <c r="U379" s="71" t="n"/>
      <c r="V379" s="71" t="n"/>
      <c r="W379" s="71" t="n"/>
      <c r="X379" s="71" t="n"/>
    </row>
    <row r="380">
      <c r="A380" s="72" t="n"/>
      <c r="B380" s="72" t="n"/>
      <c r="C380" s="72" t="n"/>
      <c r="D380" s="72" t="n"/>
      <c r="E380" s="72" t="n"/>
      <c r="F380" s="73" t="n"/>
      <c r="G380" s="73" t="n"/>
      <c r="H380" s="72" t="n"/>
      <c r="I380" s="72" t="n"/>
      <c r="J380" s="72" t="n"/>
      <c r="K380" s="72" t="n"/>
      <c r="L380" s="72" t="n"/>
      <c r="M380" s="72" t="n"/>
      <c r="N380" s="72" t="n"/>
      <c r="O380" s="72" t="n"/>
      <c r="P380" s="72" t="n"/>
      <c r="Q380" s="72" t="n"/>
      <c r="R380" s="73" t="n"/>
      <c r="S380" s="73" t="n"/>
      <c r="T380" s="72" t="n"/>
      <c r="U380" s="72" t="n"/>
      <c r="V380" s="72" t="n"/>
      <c r="W380" s="72" t="n"/>
      <c r="X380" s="72" t="n"/>
    </row>
    <row r="381">
      <c r="A381" s="71" t="n"/>
      <c r="B381" s="71" t="n"/>
      <c r="C381" s="71" t="n"/>
      <c r="D381" s="71" t="n"/>
      <c r="E381" s="71" t="n"/>
      <c r="F381" s="46" t="n"/>
      <c r="G381" s="46" t="n"/>
      <c r="H381" s="71" t="n"/>
      <c r="I381" s="71" t="n"/>
      <c r="J381" s="71" t="n"/>
      <c r="K381" s="71" t="n"/>
      <c r="L381" s="71" t="n"/>
      <c r="M381" s="71" t="n"/>
      <c r="N381" s="71" t="n"/>
      <c r="O381" s="71" t="n"/>
      <c r="P381" s="71" t="n"/>
      <c r="Q381" s="71" t="n"/>
      <c r="R381" s="46" t="n"/>
      <c r="S381" s="46" t="n"/>
      <c r="T381" s="71" t="n"/>
      <c r="U381" s="71" t="n"/>
      <c r="V381" s="71" t="n"/>
      <c r="W381" s="71" t="n"/>
      <c r="X381" s="71" t="n"/>
    </row>
    <row r="382">
      <c r="A382" s="72" t="n"/>
      <c r="B382" s="72" t="n"/>
      <c r="C382" s="72" t="n"/>
      <c r="D382" s="72" t="n"/>
      <c r="E382" s="72" t="n"/>
      <c r="F382" s="73" t="n"/>
      <c r="G382" s="73" t="n"/>
      <c r="H382" s="72" t="n"/>
      <c r="I382" s="72" t="n"/>
      <c r="J382" s="72" t="n"/>
      <c r="K382" s="72" t="n"/>
      <c r="L382" s="72" t="n"/>
      <c r="M382" s="72" t="n"/>
      <c r="N382" s="72" t="n"/>
      <c r="O382" s="72" t="n"/>
      <c r="P382" s="72" t="n"/>
      <c r="Q382" s="72" t="n"/>
      <c r="R382" s="73" t="n"/>
      <c r="S382" s="73" t="n"/>
      <c r="T382" s="72" t="n"/>
      <c r="U382" s="72" t="n"/>
      <c r="V382" s="72" t="n"/>
      <c r="W382" s="72" t="n"/>
      <c r="X382" s="72" t="n"/>
    </row>
    <row r="383">
      <c r="A383" s="71" t="n"/>
      <c r="B383" s="71" t="n"/>
      <c r="C383" s="71" t="n"/>
      <c r="D383" s="71" t="n"/>
      <c r="E383" s="71" t="n"/>
      <c r="F383" s="46" t="n"/>
      <c r="G383" s="46" t="n"/>
      <c r="H383" s="71" t="n"/>
      <c r="I383" s="71" t="n"/>
      <c r="J383" s="71" t="n"/>
      <c r="K383" s="71" t="n"/>
      <c r="L383" s="71" t="n"/>
      <c r="M383" s="71" t="n"/>
      <c r="N383" s="71" t="n"/>
      <c r="O383" s="71" t="n"/>
      <c r="P383" s="71" t="n"/>
      <c r="Q383" s="71" t="n"/>
      <c r="R383" s="46" t="n"/>
      <c r="S383" s="46" t="n"/>
      <c r="T383" s="71" t="n"/>
      <c r="U383" s="71" t="n"/>
      <c r="V383" s="71" t="n"/>
      <c r="W383" s="71" t="n"/>
      <c r="X383" s="71" t="n"/>
    </row>
    <row r="384">
      <c r="A384" s="72" t="n"/>
      <c r="B384" s="72" t="n"/>
      <c r="C384" s="72" t="n"/>
      <c r="D384" s="72" t="n"/>
      <c r="E384" s="72" t="n"/>
      <c r="F384" s="73" t="n"/>
      <c r="G384" s="73" t="n"/>
      <c r="H384" s="72" t="n"/>
      <c r="I384" s="72" t="n"/>
      <c r="J384" s="72" t="n"/>
      <c r="K384" s="72" t="n"/>
      <c r="L384" s="72" t="n"/>
      <c r="M384" s="72" t="n"/>
      <c r="N384" s="72" t="n"/>
      <c r="O384" s="72" t="n"/>
      <c r="P384" s="72" t="n"/>
      <c r="Q384" s="72" t="n"/>
      <c r="R384" s="73" t="n"/>
      <c r="S384" s="73" t="n"/>
      <c r="T384" s="72" t="n"/>
      <c r="U384" s="72" t="n"/>
      <c r="V384" s="72" t="n"/>
      <c r="W384" s="72" t="n"/>
      <c r="X384" s="72" t="n"/>
    </row>
    <row r="385">
      <c r="A385" s="71" t="n"/>
      <c r="B385" s="71" t="n"/>
      <c r="C385" s="71" t="n"/>
      <c r="D385" s="71" t="n"/>
      <c r="E385" s="71" t="n"/>
      <c r="F385" s="46" t="n"/>
      <c r="G385" s="46" t="n"/>
      <c r="H385" s="71" t="n"/>
      <c r="I385" s="71" t="n"/>
      <c r="J385" s="71" t="n"/>
      <c r="K385" s="71" t="n"/>
      <c r="L385" s="71" t="n"/>
      <c r="M385" s="71" t="n"/>
      <c r="N385" s="71" t="n"/>
      <c r="O385" s="71" t="n"/>
      <c r="P385" s="71" t="n"/>
      <c r="Q385" s="71" t="n"/>
      <c r="R385" s="46" t="n"/>
      <c r="S385" s="46" t="n"/>
      <c r="T385" s="71" t="n"/>
      <c r="U385" s="71" t="n"/>
      <c r="V385" s="71" t="n"/>
      <c r="W385" s="71" t="n"/>
      <c r="X385" s="71" t="n"/>
    </row>
    <row r="386">
      <c r="A386" s="72" t="n"/>
      <c r="B386" s="72" t="n"/>
      <c r="C386" s="72" t="n"/>
      <c r="D386" s="72" t="n"/>
      <c r="E386" s="72" t="n"/>
      <c r="F386" s="73" t="n"/>
      <c r="G386" s="73" t="n"/>
      <c r="H386" s="72" t="n"/>
      <c r="I386" s="72" t="n"/>
      <c r="J386" s="72" t="n"/>
      <c r="K386" s="72" t="n"/>
      <c r="L386" s="72" t="n"/>
      <c r="M386" s="72" t="n"/>
      <c r="N386" s="72" t="n"/>
      <c r="O386" s="72" t="n"/>
      <c r="P386" s="72" t="n"/>
      <c r="Q386" s="72" t="n"/>
      <c r="R386" s="73" t="n"/>
      <c r="S386" s="73" t="n"/>
      <c r="T386" s="72" t="n"/>
      <c r="U386" s="72" t="n"/>
      <c r="V386" s="72" t="n"/>
      <c r="W386" s="72" t="n"/>
      <c r="X386" s="72" t="n"/>
    </row>
    <row r="387">
      <c r="A387" s="71" t="n"/>
      <c r="B387" s="71" t="n"/>
      <c r="C387" s="71" t="n"/>
      <c r="D387" s="71" t="n"/>
      <c r="E387" s="71" t="n"/>
      <c r="F387" s="46" t="n"/>
      <c r="G387" s="46" t="n"/>
      <c r="H387" s="71" t="n"/>
      <c r="I387" s="71" t="n"/>
      <c r="J387" s="71" t="n"/>
      <c r="K387" s="71" t="n"/>
      <c r="L387" s="71" t="n"/>
      <c r="M387" s="71" t="n"/>
      <c r="N387" s="71" t="n"/>
      <c r="O387" s="71" t="n"/>
      <c r="P387" s="71" t="n"/>
      <c r="Q387" s="71" t="n"/>
      <c r="R387" s="46" t="n"/>
      <c r="S387" s="46" t="n"/>
      <c r="T387" s="71" t="n"/>
      <c r="U387" s="71" t="n"/>
      <c r="V387" s="71" t="n"/>
      <c r="W387" s="71" t="n"/>
      <c r="X387" s="71" t="n"/>
    </row>
    <row r="388">
      <c r="A388" s="72" t="n"/>
      <c r="B388" s="72" t="n"/>
      <c r="C388" s="72" t="n"/>
      <c r="D388" s="72" t="n"/>
      <c r="E388" s="72" t="n"/>
      <c r="F388" s="73" t="n"/>
      <c r="G388" s="73" t="n"/>
      <c r="H388" s="72" t="n"/>
      <c r="I388" s="72" t="n"/>
      <c r="J388" s="72" t="n"/>
      <c r="K388" s="72" t="n"/>
      <c r="L388" s="72" t="n"/>
      <c r="M388" s="72" t="n"/>
      <c r="N388" s="72" t="n"/>
      <c r="O388" s="72" t="n"/>
      <c r="P388" s="72" t="n"/>
      <c r="Q388" s="72" t="n"/>
      <c r="R388" s="73" t="n"/>
      <c r="S388" s="73" t="n"/>
      <c r="T388" s="72" t="n"/>
      <c r="U388" s="72" t="n"/>
      <c r="V388" s="72" t="n"/>
      <c r="W388" s="72" t="n"/>
      <c r="X388" s="72" t="n"/>
    </row>
    <row r="389">
      <c r="A389" s="71" t="n"/>
      <c r="B389" s="71" t="n"/>
      <c r="C389" s="71" t="n"/>
      <c r="D389" s="71" t="n"/>
      <c r="E389" s="71" t="n"/>
      <c r="F389" s="46" t="n"/>
      <c r="G389" s="46" t="n"/>
      <c r="H389" s="71" t="n"/>
      <c r="I389" s="71" t="n"/>
      <c r="J389" s="71" t="n"/>
      <c r="K389" s="71" t="n"/>
      <c r="L389" s="71" t="n"/>
      <c r="M389" s="71" t="n"/>
      <c r="N389" s="71" t="n"/>
      <c r="O389" s="71" t="n"/>
      <c r="P389" s="71" t="n"/>
      <c r="Q389" s="71" t="n"/>
      <c r="R389" s="46" t="n"/>
      <c r="S389" s="46" t="n"/>
      <c r="T389" s="71" t="n"/>
      <c r="U389" s="71" t="n"/>
      <c r="V389" s="71" t="n"/>
      <c r="W389" s="71" t="n"/>
      <c r="X389" s="71" t="n"/>
    </row>
    <row r="390">
      <c r="A390" s="72" t="n"/>
      <c r="B390" s="72" t="n"/>
      <c r="C390" s="72" t="n"/>
      <c r="D390" s="72" t="n"/>
      <c r="E390" s="72" t="n"/>
      <c r="F390" s="73" t="n"/>
      <c r="G390" s="73" t="n"/>
      <c r="H390" s="72" t="n"/>
      <c r="I390" s="72" t="n"/>
      <c r="J390" s="72" t="n"/>
      <c r="K390" s="72" t="n"/>
      <c r="L390" s="72" t="n"/>
      <c r="M390" s="72" t="n"/>
      <c r="N390" s="72" t="n"/>
      <c r="O390" s="72" t="n"/>
      <c r="P390" s="72" t="n"/>
      <c r="Q390" s="72" t="n"/>
      <c r="R390" s="73" t="n"/>
      <c r="S390" s="73" t="n"/>
      <c r="T390" s="72" t="n"/>
      <c r="U390" s="72" t="n"/>
      <c r="V390" s="72" t="n"/>
      <c r="W390" s="72" t="n"/>
      <c r="X390" s="72" t="n"/>
    </row>
    <row r="391">
      <c r="A391" s="71" t="n"/>
      <c r="B391" s="71" t="n"/>
      <c r="C391" s="71" t="n"/>
      <c r="D391" s="71" t="n"/>
      <c r="E391" s="71" t="n"/>
      <c r="F391" s="46" t="n"/>
      <c r="G391" s="46" t="n"/>
      <c r="H391" s="71" t="n"/>
      <c r="I391" s="71" t="n"/>
      <c r="J391" s="71" t="n"/>
      <c r="K391" s="71" t="n"/>
      <c r="L391" s="71" t="n"/>
      <c r="M391" s="71" t="n"/>
      <c r="N391" s="71" t="n"/>
      <c r="O391" s="71" t="n"/>
      <c r="P391" s="71" t="n"/>
      <c r="Q391" s="71" t="n"/>
      <c r="R391" s="46" t="n"/>
      <c r="S391" s="46" t="n"/>
      <c r="T391" s="71" t="n"/>
      <c r="U391" s="71" t="n"/>
      <c r="V391" s="71" t="n"/>
      <c r="W391" s="71" t="n"/>
      <c r="X391" s="71" t="n"/>
    </row>
    <row r="392">
      <c r="A392" s="72" t="n"/>
      <c r="B392" s="72" t="n"/>
      <c r="C392" s="72" t="n"/>
      <c r="D392" s="72" t="n"/>
      <c r="E392" s="72" t="n"/>
      <c r="F392" s="73" t="n"/>
      <c r="G392" s="73" t="n"/>
      <c r="H392" s="72" t="n"/>
      <c r="I392" s="72" t="n"/>
      <c r="J392" s="72" t="n"/>
      <c r="K392" s="72" t="n"/>
      <c r="L392" s="72" t="n"/>
      <c r="M392" s="72" t="n"/>
      <c r="N392" s="72" t="n"/>
      <c r="O392" s="72" t="n"/>
      <c r="P392" s="72" t="n"/>
      <c r="Q392" s="72" t="n"/>
      <c r="R392" s="73" t="n"/>
      <c r="S392" s="73" t="n"/>
      <c r="T392" s="72" t="n"/>
      <c r="U392" s="72" t="n"/>
      <c r="V392" s="72" t="n"/>
      <c r="W392" s="72" t="n"/>
      <c r="X392" s="72" t="n"/>
    </row>
    <row r="393">
      <c r="A393" s="71" t="n"/>
      <c r="B393" s="71" t="n"/>
      <c r="C393" s="71" t="n"/>
      <c r="D393" s="71" t="n"/>
      <c r="E393" s="71" t="n"/>
      <c r="F393" s="46" t="n"/>
      <c r="G393" s="46" t="n"/>
      <c r="H393" s="71" t="n"/>
      <c r="I393" s="71" t="n"/>
      <c r="J393" s="71" t="n"/>
      <c r="K393" s="71" t="n"/>
      <c r="L393" s="71" t="n"/>
      <c r="M393" s="71" t="n"/>
      <c r="N393" s="71" t="n"/>
      <c r="O393" s="71" t="n"/>
      <c r="P393" s="71" t="n"/>
      <c r="Q393" s="71" t="n"/>
      <c r="R393" s="46" t="n"/>
      <c r="S393" s="46" t="n"/>
      <c r="T393" s="71" t="n"/>
      <c r="U393" s="71" t="n"/>
      <c r="V393" s="71" t="n"/>
      <c r="W393" s="71" t="n"/>
      <c r="X393" s="71" t="n"/>
    </row>
    <row r="394">
      <c r="A394" s="72" t="n"/>
      <c r="B394" s="72" t="n"/>
      <c r="C394" s="72" t="n"/>
      <c r="D394" s="72" t="n"/>
      <c r="E394" s="72" t="n"/>
      <c r="F394" s="73" t="n"/>
      <c r="G394" s="73" t="n"/>
      <c r="H394" s="72" t="n"/>
      <c r="I394" s="72" t="n"/>
      <c r="J394" s="72" t="n"/>
      <c r="K394" s="72" t="n"/>
      <c r="L394" s="72" t="n"/>
      <c r="M394" s="72" t="n"/>
      <c r="N394" s="72" t="n"/>
      <c r="O394" s="72" t="n"/>
      <c r="P394" s="72" t="n"/>
      <c r="Q394" s="72" t="n"/>
      <c r="R394" s="73" t="n"/>
      <c r="S394" s="73" t="n"/>
      <c r="T394" s="72" t="n"/>
      <c r="U394" s="72" t="n"/>
      <c r="V394" s="72" t="n"/>
      <c r="W394" s="72" t="n"/>
      <c r="X394" s="72" t="n"/>
    </row>
    <row r="395">
      <c r="A395" s="71" t="n"/>
      <c r="B395" s="71" t="n"/>
      <c r="C395" s="71" t="n"/>
      <c r="D395" s="71" t="n"/>
      <c r="E395" s="71" t="n"/>
      <c r="F395" s="46" t="n"/>
      <c r="G395" s="46" t="n"/>
      <c r="H395" s="71" t="n"/>
      <c r="I395" s="71" t="n"/>
      <c r="J395" s="71" t="n"/>
      <c r="K395" s="71" t="n"/>
      <c r="L395" s="71" t="n"/>
      <c r="M395" s="71" t="n"/>
      <c r="N395" s="71" t="n"/>
      <c r="O395" s="71" t="n"/>
      <c r="P395" s="71" t="n"/>
      <c r="Q395" s="71" t="n"/>
      <c r="R395" s="46" t="n"/>
      <c r="S395" s="46" t="n"/>
      <c r="T395" s="71" t="n"/>
      <c r="U395" s="71" t="n"/>
      <c r="V395" s="71" t="n"/>
      <c r="W395" s="71" t="n"/>
      <c r="X395" s="71" t="n"/>
    </row>
    <row r="396">
      <c r="A396" s="72" t="n"/>
      <c r="B396" s="72" t="n"/>
      <c r="C396" s="72" t="n"/>
      <c r="D396" s="72" t="n"/>
      <c r="E396" s="72" t="n"/>
      <c r="F396" s="73" t="n"/>
      <c r="G396" s="73" t="n"/>
      <c r="H396" s="72" t="n"/>
      <c r="I396" s="72" t="n"/>
      <c r="J396" s="72" t="n"/>
      <c r="K396" s="72" t="n"/>
      <c r="L396" s="72" t="n"/>
      <c r="M396" s="72" t="n"/>
      <c r="N396" s="72" t="n"/>
      <c r="O396" s="72" t="n"/>
      <c r="P396" s="72" t="n"/>
      <c r="Q396" s="72" t="n"/>
      <c r="R396" s="73" t="n"/>
      <c r="S396" s="73" t="n"/>
      <c r="T396" s="72" t="n"/>
      <c r="U396" s="72" t="n"/>
      <c r="V396" s="72" t="n"/>
      <c r="W396" s="72" t="n"/>
      <c r="X396" s="72" t="n"/>
    </row>
    <row r="397">
      <c r="A397" s="71" t="n"/>
      <c r="B397" s="71" t="n"/>
      <c r="C397" s="71" t="n"/>
      <c r="D397" s="71" t="n"/>
      <c r="E397" s="71" t="n"/>
      <c r="F397" s="46" t="n"/>
      <c r="G397" s="46" t="n"/>
      <c r="H397" s="71" t="n"/>
      <c r="I397" s="71" t="n"/>
      <c r="J397" s="71" t="n"/>
      <c r="K397" s="71" t="n"/>
      <c r="L397" s="71" t="n"/>
      <c r="M397" s="71" t="n"/>
      <c r="N397" s="71" t="n"/>
      <c r="O397" s="71" t="n"/>
      <c r="P397" s="71" t="n"/>
      <c r="Q397" s="71" t="n"/>
      <c r="R397" s="46" t="n"/>
      <c r="S397" s="46" t="n"/>
      <c r="T397" s="71" t="n"/>
      <c r="U397" s="71" t="n"/>
      <c r="V397" s="71" t="n"/>
      <c r="W397" s="71" t="n"/>
      <c r="X397" s="71" t="n"/>
    </row>
    <row r="398">
      <c r="A398" s="72" t="n"/>
      <c r="B398" s="72" t="n"/>
      <c r="C398" s="72" t="n"/>
      <c r="D398" s="72" t="n"/>
      <c r="E398" s="72" t="n"/>
      <c r="F398" s="73" t="n"/>
      <c r="G398" s="73" t="n"/>
      <c r="H398" s="72" t="n"/>
      <c r="I398" s="72" t="n"/>
      <c r="J398" s="72" t="n"/>
      <c r="K398" s="72" t="n"/>
      <c r="L398" s="72" t="n"/>
      <c r="M398" s="72" t="n"/>
      <c r="N398" s="72" t="n"/>
      <c r="O398" s="72" t="n"/>
      <c r="P398" s="72" t="n"/>
      <c r="Q398" s="72" t="n"/>
      <c r="R398" s="73" t="n"/>
      <c r="S398" s="73" t="n"/>
      <c r="T398" s="72" t="n"/>
      <c r="U398" s="72" t="n"/>
      <c r="V398" s="72" t="n"/>
      <c r="W398" s="72" t="n"/>
      <c r="X398" s="72" t="n"/>
    </row>
    <row r="399">
      <c r="A399" s="71" t="n"/>
      <c r="B399" s="71" t="n"/>
      <c r="C399" s="71" t="n"/>
      <c r="D399" s="71" t="n"/>
      <c r="E399" s="71" t="n"/>
      <c r="F399" s="46" t="n"/>
      <c r="G399" s="46" t="n"/>
      <c r="H399" s="71" t="n"/>
      <c r="I399" s="71" t="n"/>
      <c r="J399" s="71" t="n"/>
      <c r="K399" s="71" t="n"/>
      <c r="L399" s="71" t="n"/>
      <c r="M399" s="71" t="n"/>
      <c r="N399" s="71" t="n"/>
      <c r="O399" s="71" t="n"/>
      <c r="P399" s="71" t="n"/>
      <c r="Q399" s="71" t="n"/>
      <c r="R399" s="46" t="n"/>
      <c r="S399" s="46" t="n"/>
      <c r="T399" s="71" t="n"/>
      <c r="U399" s="71" t="n"/>
      <c r="V399" s="71" t="n"/>
      <c r="W399" s="71" t="n"/>
      <c r="X399" s="71" t="n"/>
    </row>
    <row r="400">
      <c r="A400" s="72" t="n"/>
      <c r="B400" s="72" t="n"/>
      <c r="C400" s="72" t="n"/>
      <c r="D400" s="72" t="n"/>
      <c r="E400" s="72" t="n"/>
      <c r="F400" s="73" t="n"/>
      <c r="G400" s="73" t="n"/>
      <c r="H400" s="72" t="n"/>
      <c r="I400" s="72" t="n"/>
      <c r="J400" s="72" t="n"/>
      <c r="K400" s="72" t="n"/>
      <c r="L400" s="72" t="n"/>
      <c r="M400" s="72" t="n"/>
      <c r="N400" s="72" t="n"/>
      <c r="O400" s="72" t="n"/>
      <c r="P400" s="72" t="n"/>
      <c r="Q400" s="72" t="n"/>
      <c r="R400" s="73" t="n"/>
      <c r="S400" s="73" t="n"/>
      <c r="T400" s="72" t="n"/>
      <c r="U400" s="72" t="n"/>
      <c r="V400" s="72" t="n"/>
      <c r="W400" s="72" t="n"/>
      <c r="X400" s="72" t="n"/>
    </row>
    <row r="401">
      <c r="A401" s="71" t="n"/>
      <c r="B401" s="71" t="n"/>
      <c r="C401" s="71" t="n"/>
      <c r="D401" s="71" t="n"/>
      <c r="E401" s="71" t="n"/>
      <c r="F401" s="46" t="n"/>
      <c r="G401" s="46" t="n"/>
      <c r="H401" s="71" t="n"/>
      <c r="I401" s="71" t="n"/>
      <c r="J401" s="71" t="n"/>
      <c r="K401" s="71" t="n"/>
      <c r="L401" s="71" t="n"/>
      <c r="M401" s="71" t="n"/>
      <c r="N401" s="71" t="n"/>
      <c r="O401" s="71" t="n"/>
      <c r="P401" s="71" t="n"/>
      <c r="Q401" s="71" t="n"/>
      <c r="R401" s="46" t="n"/>
      <c r="S401" s="46" t="n"/>
      <c r="T401" s="71" t="n"/>
      <c r="U401" s="71" t="n"/>
      <c r="V401" s="71" t="n"/>
      <c r="W401" s="71" t="n"/>
      <c r="X401" s="71" t="n"/>
    </row>
    <row r="402">
      <c r="A402" s="72" t="n"/>
      <c r="B402" s="72" t="n"/>
      <c r="C402" s="72" t="n"/>
      <c r="D402" s="72" t="n"/>
      <c r="E402" s="72" t="n"/>
      <c r="F402" s="73" t="n"/>
      <c r="G402" s="73" t="n"/>
      <c r="H402" s="72" t="n"/>
      <c r="I402" s="72" t="n"/>
      <c r="J402" s="72" t="n"/>
      <c r="K402" s="72" t="n"/>
      <c r="L402" s="72" t="n"/>
      <c r="M402" s="72" t="n"/>
      <c r="N402" s="72" t="n"/>
      <c r="O402" s="72" t="n"/>
      <c r="P402" s="72" t="n"/>
      <c r="Q402" s="72" t="n"/>
      <c r="R402" s="73" t="n"/>
      <c r="S402" s="73" t="n"/>
      <c r="T402" s="72" t="n"/>
      <c r="U402" s="72" t="n"/>
      <c r="V402" s="72" t="n"/>
      <c r="W402" s="72" t="n"/>
      <c r="X402" s="72" t="n"/>
    </row>
    <row r="403">
      <c r="A403" s="71" t="n"/>
      <c r="B403" s="71" t="n"/>
      <c r="C403" s="71" t="n"/>
      <c r="D403" s="71" t="n"/>
      <c r="E403" s="71" t="n"/>
      <c r="F403" s="46" t="n"/>
      <c r="G403" s="46" t="n"/>
      <c r="H403" s="71" t="n"/>
      <c r="I403" s="71" t="n"/>
      <c r="J403" s="71" t="n"/>
      <c r="K403" s="71" t="n"/>
      <c r="L403" s="71" t="n"/>
      <c r="M403" s="71" t="n"/>
      <c r="N403" s="71" t="n"/>
      <c r="O403" s="71" t="n"/>
      <c r="P403" s="71" t="n"/>
      <c r="Q403" s="71" t="n"/>
      <c r="R403" s="46" t="n"/>
      <c r="S403" s="46" t="n"/>
      <c r="T403" s="71" t="n"/>
      <c r="U403" s="71" t="n"/>
      <c r="V403" s="71" t="n"/>
      <c r="W403" s="71" t="n"/>
      <c r="X403" s="71" t="n"/>
    </row>
    <row r="404">
      <c r="A404" s="72" t="n"/>
      <c r="B404" s="72" t="n"/>
      <c r="C404" s="72" t="n"/>
      <c r="D404" s="72" t="n"/>
      <c r="E404" s="72" t="n"/>
      <c r="F404" s="73" t="n"/>
      <c r="G404" s="73" t="n"/>
      <c r="H404" s="72" t="n"/>
      <c r="I404" s="72" t="n"/>
      <c r="J404" s="72" t="n"/>
      <c r="K404" s="72" t="n"/>
      <c r="L404" s="72" t="n"/>
      <c r="M404" s="72" t="n"/>
      <c r="N404" s="72" t="n"/>
      <c r="O404" s="72" t="n"/>
      <c r="P404" s="72" t="n"/>
      <c r="Q404" s="72" t="n"/>
      <c r="R404" s="73" t="n"/>
      <c r="S404" s="73" t="n"/>
      <c r="T404" s="72" t="n"/>
      <c r="U404" s="72" t="n"/>
      <c r="V404" s="72" t="n"/>
      <c r="W404" s="72" t="n"/>
      <c r="X404" s="72" t="n"/>
    </row>
    <row r="405">
      <c r="A405" s="71" t="n"/>
      <c r="B405" s="71" t="n"/>
      <c r="C405" s="71" t="n"/>
      <c r="D405" s="71" t="n"/>
      <c r="E405" s="71" t="n"/>
      <c r="F405" s="46" t="n"/>
      <c r="G405" s="46" t="n"/>
      <c r="H405" s="71" t="n"/>
      <c r="I405" s="71" t="n"/>
      <c r="J405" s="71" t="n"/>
      <c r="K405" s="71" t="n"/>
      <c r="L405" s="71" t="n"/>
      <c r="M405" s="71" t="n"/>
      <c r="N405" s="71" t="n"/>
      <c r="O405" s="71" t="n"/>
      <c r="P405" s="71" t="n"/>
      <c r="Q405" s="71" t="n"/>
      <c r="R405" s="46" t="n"/>
      <c r="S405" s="46" t="n"/>
      <c r="T405" s="71" t="n"/>
      <c r="U405" s="71" t="n"/>
      <c r="V405" s="71" t="n"/>
      <c r="W405" s="71" t="n"/>
      <c r="X405" s="71" t="n"/>
    </row>
    <row r="406">
      <c r="A406" s="72" t="n"/>
      <c r="B406" s="72" t="n"/>
      <c r="C406" s="72" t="n"/>
      <c r="D406" s="72" t="n"/>
      <c r="E406" s="72" t="n"/>
      <c r="F406" s="73" t="n"/>
      <c r="G406" s="73" t="n"/>
      <c r="H406" s="72" t="n"/>
      <c r="I406" s="72" t="n"/>
      <c r="J406" s="72" t="n"/>
      <c r="K406" s="72" t="n"/>
      <c r="L406" s="72" t="n"/>
      <c r="M406" s="72" t="n"/>
      <c r="N406" s="72" t="n"/>
      <c r="O406" s="72" t="n"/>
      <c r="P406" s="72" t="n"/>
      <c r="Q406" s="72" t="n"/>
      <c r="R406" s="73" t="n"/>
      <c r="S406" s="73" t="n"/>
      <c r="T406" s="72" t="n"/>
      <c r="U406" s="72" t="n"/>
      <c r="V406" s="72" t="n"/>
      <c r="W406" s="72" t="n"/>
      <c r="X406" s="72" t="n"/>
    </row>
    <row r="407">
      <c r="A407" s="71" t="n"/>
      <c r="B407" s="71" t="n"/>
      <c r="C407" s="71" t="n"/>
      <c r="D407" s="71" t="n"/>
      <c r="E407" s="71" t="n"/>
      <c r="F407" s="46" t="n"/>
      <c r="G407" s="46" t="n"/>
      <c r="H407" s="71" t="n"/>
      <c r="I407" s="71" t="n"/>
      <c r="J407" s="71" t="n"/>
      <c r="K407" s="71" t="n"/>
      <c r="L407" s="71" t="n"/>
      <c r="M407" s="71" t="n"/>
      <c r="N407" s="71" t="n"/>
      <c r="O407" s="71" t="n"/>
      <c r="P407" s="71" t="n"/>
      <c r="Q407" s="71" t="n"/>
      <c r="R407" s="46" t="n"/>
      <c r="S407" s="46" t="n"/>
      <c r="T407" s="71" t="n"/>
      <c r="U407" s="71" t="n"/>
      <c r="V407" s="71" t="n"/>
      <c r="W407" s="71" t="n"/>
      <c r="X407" s="71" t="n"/>
    </row>
    <row r="408">
      <c r="A408" s="72" t="n"/>
      <c r="B408" s="72" t="n"/>
      <c r="C408" s="72" t="n"/>
      <c r="D408" s="72" t="n"/>
      <c r="E408" s="72" t="n"/>
      <c r="F408" s="73" t="n"/>
      <c r="G408" s="73" t="n"/>
      <c r="H408" s="72" t="n"/>
      <c r="I408" s="72" t="n"/>
      <c r="J408" s="72" t="n"/>
      <c r="K408" s="72" t="n"/>
      <c r="L408" s="72" t="n"/>
      <c r="M408" s="72" t="n"/>
      <c r="N408" s="72" t="n"/>
      <c r="O408" s="72" t="n"/>
      <c r="P408" s="72" t="n"/>
      <c r="Q408" s="72" t="n"/>
      <c r="R408" s="73" t="n"/>
      <c r="S408" s="73" t="n"/>
      <c r="T408" s="72" t="n"/>
      <c r="U408" s="72" t="n"/>
      <c r="V408" s="72" t="n"/>
      <c r="W408" s="72" t="n"/>
      <c r="X408" s="72" t="n"/>
    </row>
    <row r="409">
      <c r="A409" s="71" t="n"/>
      <c r="B409" s="71" t="n"/>
      <c r="C409" s="71" t="n"/>
      <c r="D409" s="71" t="n"/>
      <c r="E409" s="71" t="n"/>
      <c r="F409" s="46" t="n"/>
      <c r="G409" s="46" t="n"/>
      <c r="H409" s="71" t="n"/>
      <c r="I409" s="71" t="n"/>
      <c r="J409" s="71" t="n"/>
      <c r="K409" s="71" t="n"/>
      <c r="L409" s="71" t="n"/>
      <c r="M409" s="71" t="n"/>
      <c r="N409" s="71" t="n"/>
      <c r="O409" s="71" t="n"/>
      <c r="P409" s="71" t="n"/>
      <c r="Q409" s="71" t="n"/>
      <c r="R409" s="46" t="n"/>
      <c r="S409" s="46" t="n"/>
      <c r="T409" s="71" t="n"/>
      <c r="U409" s="71" t="n"/>
      <c r="V409" s="71" t="n"/>
      <c r="W409" s="71" t="n"/>
      <c r="X409" s="71" t="n"/>
    </row>
    <row r="410">
      <c r="A410" s="72" t="n"/>
      <c r="B410" s="72" t="n"/>
      <c r="C410" s="72" t="n"/>
      <c r="D410" s="72" t="n"/>
      <c r="E410" s="72" t="n"/>
      <c r="F410" s="73" t="n"/>
      <c r="G410" s="73" t="n"/>
      <c r="H410" s="72" t="n"/>
      <c r="I410" s="72" t="n"/>
      <c r="J410" s="72" t="n"/>
      <c r="K410" s="72" t="n"/>
      <c r="L410" s="72" t="n"/>
      <c r="M410" s="72" t="n"/>
      <c r="N410" s="72" t="n"/>
      <c r="O410" s="72" t="n"/>
      <c r="P410" s="72" t="n"/>
      <c r="Q410" s="72" t="n"/>
      <c r="R410" s="73" t="n"/>
      <c r="S410" s="73" t="n"/>
      <c r="T410" s="72" t="n"/>
      <c r="U410" s="72" t="n"/>
      <c r="V410" s="72" t="n"/>
      <c r="W410" s="72" t="n"/>
      <c r="X410" s="72" t="n"/>
    </row>
    <row r="411">
      <c r="A411" s="71" t="n"/>
      <c r="B411" s="71" t="n"/>
      <c r="C411" s="71" t="n"/>
      <c r="D411" s="71" t="n"/>
      <c r="E411" s="71" t="n"/>
      <c r="F411" s="46" t="n"/>
      <c r="G411" s="46" t="n"/>
      <c r="H411" s="71" t="n"/>
      <c r="I411" s="71" t="n"/>
      <c r="J411" s="71" t="n"/>
      <c r="K411" s="71" t="n"/>
      <c r="L411" s="71" t="n"/>
      <c r="M411" s="71" t="n"/>
      <c r="N411" s="71" t="n"/>
      <c r="O411" s="71" t="n"/>
      <c r="P411" s="71" t="n"/>
      <c r="Q411" s="71" t="n"/>
      <c r="R411" s="46" t="n"/>
      <c r="S411" s="46" t="n"/>
      <c r="T411" s="71" t="n"/>
      <c r="U411" s="71" t="n"/>
      <c r="V411" s="71" t="n"/>
      <c r="W411" s="71" t="n"/>
      <c r="X411" s="71" t="n"/>
    </row>
    <row r="412">
      <c r="A412" s="72" t="n"/>
      <c r="B412" s="72" t="n"/>
      <c r="C412" s="72" t="n"/>
      <c r="D412" s="72" t="n"/>
      <c r="E412" s="72" t="n"/>
      <c r="F412" s="73" t="n"/>
      <c r="G412" s="73" t="n"/>
      <c r="H412" s="72" t="n"/>
      <c r="I412" s="72" t="n"/>
      <c r="J412" s="72" t="n"/>
      <c r="K412" s="72" t="n"/>
      <c r="L412" s="72" t="n"/>
      <c r="M412" s="72" t="n"/>
      <c r="N412" s="72" t="n"/>
      <c r="O412" s="72" t="n"/>
      <c r="P412" s="72" t="n"/>
      <c r="Q412" s="72" t="n"/>
      <c r="R412" s="73" t="n"/>
      <c r="S412" s="73" t="n"/>
      <c r="T412" s="72" t="n"/>
      <c r="U412" s="72" t="n"/>
      <c r="V412" s="72" t="n"/>
      <c r="W412" s="72" t="n"/>
      <c r="X412" s="72" t="n"/>
    </row>
    <row r="413">
      <c r="A413" s="71" t="n"/>
      <c r="B413" s="71" t="n"/>
      <c r="C413" s="71" t="n"/>
      <c r="D413" s="71" t="n"/>
      <c r="E413" s="71" t="n"/>
      <c r="F413" s="46" t="n"/>
      <c r="G413" s="46" t="n"/>
      <c r="H413" s="71" t="n"/>
      <c r="I413" s="71" t="n"/>
      <c r="J413" s="71" t="n"/>
      <c r="K413" s="71" t="n"/>
      <c r="L413" s="71" t="n"/>
      <c r="M413" s="71" t="n"/>
      <c r="N413" s="71" t="n"/>
      <c r="O413" s="71" t="n"/>
      <c r="P413" s="71" t="n"/>
      <c r="Q413" s="71" t="n"/>
      <c r="R413" s="46" t="n"/>
      <c r="S413" s="46" t="n"/>
      <c r="T413" s="71" t="n"/>
      <c r="U413" s="71" t="n"/>
      <c r="V413" s="71" t="n"/>
      <c r="W413" s="71" t="n"/>
      <c r="X413" s="71" t="n"/>
    </row>
    <row r="414">
      <c r="A414" s="72" t="n"/>
      <c r="B414" s="72" t="n"/>
      <c r="C414" s="72" t="n"/>
      <c r="D414" s="72" t="n"/>
      <c r="E414" s="72" t="n"/>
      <c r="F414" s="73" t="n"/>
      <c r="G414" s="73" t="n"/>
      <c r="H414" s="72" t="n"/>
      <c r="I414" s="72" t="n"/>
      <c r="J414" s="72" t="n"/>
      <c r="K414" s="72" t="n"/>
      <c r="L414" s="72" t="n"/>
      <c r="M414" s="72" t="n"/>
      <c r="N414" s="72" t="n"/>
      <c r="O414" s="72" t="n"/>
      <c r="P414" s="72" t="n"/>
      <c r="Q414" s="72" t="n"/>
      <c r="R414" s="73" t="n"/>
      <c r="S414" s="73" t="n"/>
      <c r="T414" s="72" t="n"/>
      <c r="U414" s="72" t="n"/>
      <c r="V414" s="72" t="n"/>
      <c r="W414" s="72" t="n"/>
      <c r="X414" s="72" t="n"/>
    </row>
    <row r="415">
      <c r="A415" s="71" t="n"/>
      <c r="B415" s="71" t="n"/>
      <c r="C415" s="71" t="n"/>
      <c r="D415" s="71" t="n"/>
      <c r="E415" s="71" t="n"/>
      <c r="F415" s="46" t="n"/>
      <c r="G415" s="46" t="n"/>
      <c r="H415" s="71" t="n"/>
      <c r="I415" s="71" t="n"/>
      <c r="J415" s="71" t="n"/>
      <c r="K415" s="71" t="n"/>
      <c r="L415" s="71" t="n"/>
      <c r="M415" s="71" t="n"/>
      <c r="N415" s="71" t="n"/>
      <c r="O415" s="71" t="n"/>
      <c r="P415" s="71" t="n"/>
      <c r="Q415" s="71" t="n"/>
      <c r="R415" s="46" t="n"/>
      <c r="S415" s="46" t="n"/>
      <c r="T415" s="71" t="n"/>
      <c r="U415" s="71" t="n"/>
      <c r="V415" s="71" t="n"/>
      <c r="W415" s="71" t="n"/>
      <c r="X415" s="71" t="n"/>
    </row>
    <row r="416">
      <c r="A416" s="72" t="n"/>
      <c r="B416" s="72" t="n"/>
      <c r="C416" s="72" t="n"/>
      <c r="D416" s="72" t="n"/>
      <c r="E416" s="72" t="n"/>
      <c r="F416" s="73" t="n"/>
      <c r="G416" s="73" t="n"/>
      <c r="H416" s="72" t="n"/>
      <c r="I416" s="72" t="n"/>
      <c r="J416" s="72" t="n"/>
      <c r="K416" s="72" t="n"/>
      <c r="L416" s="72" t="n"/>
      <c r="M416" s="72" t="n"/>
      <c r="N416" s="72" t="n"/>
      <c r="O416" s="72" t="n"/>
      <c r="P416" s="72" t="n"/>
      <c r="Q416" s="72" t="n"/>
      <c r="R416" s="73" t="n"/>
      <c r="S416" s="73" t="n"/>
      <c r="T416" s="72" t="n"/>
      <c r="U416" s="72" t="n"/>
      <c r="V416" s="72" t="n"/>
      <c r="W416" s="72" t="n"/>
      <c r="X416" s="72" t="n"/>
    </row>
    <row r="417">
      <c r="A417" s="71" t="n"/>
      <c r="B417" s="71" t="n"/>
      <c r="C417" s="71" t="n"/>
      <c r="D417" s="71" t="n"/>
      <c r="E417" s="71" t="n"/>
      <c r="F417" s="46" t="n"/>
      <c r="G417" s="46" t="n"/>
      <c r="H417" s="71" t="n"/>
      <c r="I417" s="71" t="n"/>
      <c r="J417" s="71" t="n"/>
      <c r="K417" s="71" t="n"/>
      <c r="L417" s="71" t="n"/>
      <c r="M417" s="71" t="n"/>
      <c r="N417" s="71" t="n"/>
      <c r="O417" s="71" t="n"/>
      <c r="P417" s="71" t="n"/>
      <c r="Q417" s="71" t="n"/>
      <c r="R417" s="46" t="n"/>
      <c r="S417" s="46" t="n"/>
      <c r="T417" s="71" t="n"/>
      <c r="U417" s="71" t="n"/>
      <c r="V417" s="71" t="n"/>
      <c r="W417" s="71" t="n"/>
      <c r="X417" s="71" t="n"/>
    </row>
    <row r="418">
      <c r="A418" s="72" t="n"/>
      <c r="B418" s="72" t="n"/>
      <c r="C418" s="72" t="n"/>
      <c r="D418" s="72" t="n"/>
      <c r="E418" s="72" t="n"/>
      <c r="F418" s="73" t="n"/>
      <c r="G418" s="73" t="n"/>
      <c r="H418" s="72" t="n"/>
      <c r="I418" s="72" t="n"/>
      <c r="J418" s="72" t="n"/>
      <c r="K418" s="72" t="n"/>
      <c r="L418" s="72" t="n"/>
      <c r="M418" s="72" t="n"/>
      <c r="N418" s="72" t="n"/>
      <c r="O418" s="72" t="n"/>
      <c r="P418" s="72" t="n"/>
      <c r="Q418" s="72" t="n"/>
      <c r="R418" s="73" t="n"/>
      <c r="S418" s="73" t="n"/>
      <c r="T418" s="72" t="n"/>
      <c r="U418" s="72" t="n"/>
      <c r="V418" s="72" t="n"/>
      <c r="W418" s="72" t="n"/>
      <c r="X418" s="72" t="n"/>
    </row>
    <row r="419">
      <c r="A419" s="71" t="n"/>
      <c r="B419" s="71" t="n"/>
      <c r="C419" s="71" t="n"/>
      <c r="D419" s="71" t="n"/>
      <c r="E419" s="71" t="n"/>
      <c r="F419" s="46" t="n"/>
      <c r="G419" s="46" t="n"/>
      <c r="H419" s="71" t="n"/>
      <c r="I419" s="71" t="n"/>
      <c r="J419" s="71" t="n"/>
      <c r="K419" s="71" t="n"/>
      <c r="L419" s="71" t="n"/>
      <c r="M419" s="71" t="n"/>
      <c r="N419" s="71" t="n"/>
      <c r="O419" s="71" t="n"/>
      <c r="P419" s="71" t="n"/>
      <c r="Q419" s="71" t="n"/>
      <c r="R419" s="46" t="n"/>
      <c r="S419" s="46" t="n"/>
      <c r="T419" s="71" t="n"/>
      <c r="U419" s="71" t="n"/>
      <c r="V419" s="71" t="n"/>
      <c r="W419" s="71" t="n"/>
      <c r="X419" s="71" t="n"/>
    </row>
    <row r="420">
      <c r="A420" s="72" t="n"/>
      <c r="B420" s="72" t="n"/>
      <c r="C420" s="72" t="n"/>
      <c r="D420" s="72" t="n"/>
      <c r="E420" s="72" t="n"/>
      <c r="F420" s="73" t="n"/>
      <c r="G420" s="73" t="n"/>
      <c r="H420" s="72" t="n"/>
      <c r="I420" s="72" t="n"/>
      <c r="J420" s="72" t="n"/>
      <c r="K420" s="72" t="n"/>
      <c r="L420" s="72" t="n"/>
      <c r="M420" s="72" t="n"/>
      <c r="N420" s="72" t="n"/>
      <c r="O420" s="72" t="n"/>
      <c r="P420" s="72" t="n"/>
      <c r="Q420" s="72" t="n"/>
      <c r="R420" s="73" t="n"/>
      <c r="S420" s="73" t="n"/>
      <c r="T420" s="72" t="n"/>
      <c r="U420" s="72" t="n"/>
      <c r="V420" s="72" t="n"/>
      <c r="W420" s="72" t="n"/>
      <c r="X420" s="72" t="n"/>
    </row>
    <row r="421">
      <c r="A421" s="71" t="n"/>
      <c r="B421" s="71" t="n"/>
      <c r="C421" s="71" t="n"/>
      <c r="D421" s="71" t="n"/>
      <c r="E421" s="71" t="n"/>
      <c r="F421" s="46" t="n"/>
      <c r="G421" s="46" t="n"/>
      <c r="H421" s="71" t="n"/>
      <c r="I421" s="71" t="n"/>
      <c r="J421" s="71" t="n"/>
      <c r="K421" s="71" t="n"/>
      <c r="L421" s="71" t="n"/>
      <c r="M421" s="71" t="n"/>
      <c r="N421" s="71" t="n"/>
      <c r="O421" s="71" t="n"/>
      <c r="P421" s="71" t="n"/>
      <c r="Q421" s="71" t="n"/>
      <c r="R421" s="46" t="n"/>
      <c r="S421" s="46" t="n"/>
      <c r="T421" s="71" t="n"/>
      <c r="U421" s="71" t="n"/>
      <c r="V421" s="71" t="n"/>
      <c r="W421" s="71" t="n"/>
      <c r="X421" s="71" t="n"/>
    </row>
    <row r="422">
      <c r="A422" s="72" t="n"/>
      <c r="B422" s="72" t="n"/>
      <c r="C422" s="72" t="n"/>
      <c r="D422" s="72" t="n"/>
      <c r="E422" s="72" t="n"/>
      <c r="F422" s="73" t="n"/>
      <c r="G422" s="73" t="n"/>
      <c r="H422" s="72" t="n"/>
      <c r="I422" s="72" t="n"/>
      <c r="J422" s="72" t="n"/>
      <c r="K422" s="72" t="n"/>
      <c r="L422" s="72" t="n"/>
      <c r="M422" s="72" t="n"/>
      <c r="N422" s="72" t="n"/>
      <c r="O422" s="72" t="n"/>
      <c r="P422" s="72" t="n"/>
      <c r="Q422" s="72" t="n"/>
      <c r="R422" s="73" t="n"/>
      <c r="S422" s="73" t="n"/>
      <c r="T422" s="72" t="n"/>
      <c r="U422" s="72" t="n"/>
      <c r="V422" s="72" t="n"/>
      <c r="W422" s="72" t="n"/>
      <c r="X422" s="72" t="n"/>
    </row>
    <row r="423">
      <c r="A423" s="71" t="n"/>
      <c r="B423" s="71" t="n"/>
      <c r="C423" s="71" t="n"/>
      <c r="D423" s="71" t="n"/>
      <c r="E423" s="71" t="n"/>
      <c r="F423" s="46" t="n"/>
      <c r="G423" s="46" t="n"/>
      <c r="H423" s="71" t="n"/>
      <c r="I423" s="71" t="n"/>
      <c r="J423" s="71" t="n"/>
      <c r="K423" s="71" t="n"/>
      <c r="L423" s="71" t="n"/>
      <c r="M423" s="71" t="n"/>
      <c r="N423" s="71" t="n"/>
      <c r="O423" s="71" t="n"/>
      <c r="P423" s="71" t="n"/>
      <c r="Q423" s="71" t="n"/>
      <c r="R423" s="46" t="n"/>
      <c r="S423" s="46" t="n"/>
      <c r="T423" s="71" t="n"/>
      <c r="U423" s="71" t="n"/>
      <c r="V423" s="71" t="n"/>
      <c r="W423" s="71" t="n"/>
      <c r="X423" s="71" t="n"/>
    </row>
    <row r="424">
      <c r="A424" s="72" t="n"/>
      <c r="B424" s="72" t="n"/>
      <c r="C424" s="72" t="n"/>
      <c r="D424" s="72" t="n"/>
      <c r="E424" s="72" t="n"/>
      <c r="F424" s="73" t="n"/>
      <c r="G424" s="73" t="n"/>
      <c r="H424" s="72" t="n"/>
      <c r="I424" s="72" t="n"/>
      <c r="J424" s="72" t="n"/>
      <c r="K424" s="72" t="n"/>
      <c r="L424" s="72" t="n"/>
      <c r="M424" s="72" t="n"/>
      <c r="N424" s="72" t="n"/>
      <c r="O424" s="72" t="n"/>
      <c r="P424" s="72" t="n"/>
      <c r="Q424" s="72" t="n"/>
      <c r="R424" s="73" t="n"/>
      <c r="S424" s="73" t="n"/>
      <c r="T424" s="72" t="n"/>
      <c r="U424" s="72" t="n"/>
      <c r="V424" s="72" t="n"/>
      <c r="W424" s="72" t="n"/>
      <c r="X424" s="72" t="n"/>
    </row>
    <row r="425">
      <c r="A425" s="71" t="n"/>
      <c r="B425" s="71" t="n"/>
      <c r="C425" s="71" t="n"/>
      <c r="D425" s="71" t="n"/>
      <c r="E425" s="71" t="n"/>
      <c r="F425" s="46" t="n"/>
      <c r="G425" s="46" t="n"/>
      <c r="H425" s="71" t="n"/>
      <c r="I425" s="71" t="n"/>
      <c r="J425" s="71" t="n"/>
      <c r="K425" s="71" t="n"/>
      <c r="L425" s="71" t="n"/>
      <c r="M425" s="71" t="n"/>
      <c r="N425" s="71" t="n"/>
      <c r="O425" s="71" t="n"/>
      <c r="P425" s="71" t="n"/>
      <c r="Q425" s="71" t="n"/>
      <c r="R425" s="46" t="n"/>
      <c r="S425" s="46" t="n"/>
      <c r="T425" s="71" t="n"/>
      <c r="U425" s="71" t="n"/>
      <c r="V425" s="71" t="n"/>
      <c r="W425" s="71" t="n"/>
      <c r="X425" s="71" t="n"/>
    </row>
    <row r="426">
      <c r="A426" s="72" t="n"/>
      <c r="B426" s="72" t="n"/>
      <c r="C426" s="72" t="n"/>
      <c r="D426" s="72" t="n"/>
      <c r="E426" s="72" t="n"/>
      <c r="F426" s="73" t="n"/>
      <c r="G426" s="73" t="n"/>
      <c r="H426" s="72" t="n"/>
      <c r="I426" s="72" t="n"/>
      <c r="J426" s="72" t="n"/>
      <c r="K426" s="72" t="n"/>
      <c r="L426" s="72" t="n"/>
      <c r="M426" s="72" t="n"/>
      <c r="N426" s="72" t="n"/>
      <c r="O426" s="72" t="n"/>
      <c r="P426" s="72" t="n"/>
      <c r="Q426" s="72" t="n"/>
      <c r="R426" s="73" t="n"/>
      <c r="S426" s="73" t="n"/>
      <c r="T426" s="72" t="n"/>
      <c r="U426" s="72" t="n"/>
      <c r="V426" s="72" t="n"/>
      <c r="W426" s="72" t="n"/>
      <c r="X426" s="72" t="n"/>
    </row>
    <row r="427">
      <c r="A427" s="71" t="n"/>
      <c r="B427" s="71" t="n"/>
      <c r="C427" s="71" t="n"/>
      <c r="D427" s="71" t="n"/>
      <c r="E427" s="71" t="n"/>
      <c r="F427" s="46" t="n"/>
      <c r="G427" s="46" t="n"/>
      <c r="H427" s="71" t="n"/>
      <c r="I427" s="71" t="n"/>
      <c r="J427" s="71" t="n"/>
      <c r="K427" s="71" t="n"/>
      <c r="L427" s="71" t="n"/>
      <c r="M427" s="71" t="n"/>
      <c r="N427" s="71" t="n"/>
      <c r="O427" s="71" t="n"/>
      <c r="P427" s="71" t="n"/>
      <c r="Q427" s="71" t="n"/>
      <c r="R427" s="46" t="n"/>
      <c r="S427" s="46" t="n"/>
      <c r="T427" s="71" t="n"/>
      <c r="U427" s="71" t="n"/>
      <c r="V427" s="71" t="n"/>
      <c r="W427" s="71" t="n"/>
      <c r="X427" s="71" t="n"/>
    </row>
    <row r="428">
      <c r="A428" s="72" t="n"/>
      <c r="B428" s="72" t="n"/>
      <c r="C428" s="72" t="n"/>
      <c r="D428" s="72" t="n"/>
      <c r="E428" s="72" t="n"/>
      <c r="F428" s="73" t="n"/>
      <c r="G428" s="73" t="n"/>
      <c r="H428" s="72" t="n"/>
      <c r="I428" s="72" t="n"/>
      <c r="J428" s="72" t="n"/>
      <c r="K428" s="72" t="n"/>
      <c r="L428" s="72" t="n"/>
      <c r="M428" s="72" t="n"/>
      <c r="N428" s="72" t="n"/>
      <c r="O428" s="72" t="n"/>
      <c r="P428" s="72" t="n"/>
      <c r="Q428" s="72" t="n"/>
      <c r="R428" s="73" t="n"/>
      <c r="S428" s="73" t="n"/>
      <c r="T428" s="72" t="n"/>
      <c r="U428" s="72" t="n"/>
      <c r="V428" s="72" t="n"/>
      <c r="W428" s="72" t="n"/>
      <c r="X428" s="72" t="n"/>
    </row>
    <row r="429">
      <c r="A429" s="71" t="n"/>
      <c r="B429" s="71" t="n"/>
      <c r="C429" s="71" t="n"/>
      <c r="D429" s="71" t="n"/>
      <c r="E429" s="71" t="n"/>
      <c r="F429" s="46" t="n"/>
      <c r="G429" s="46" t="n"/>
      <c r="H429" s="71" t="n"/>
      <c r="I429" s="71" t="n"/>
      <c r="J429" s="71" t="n"/>
      <c r="K429" s="71" t="n"/>
      <c r="L429" s="71" t="n"/>
      <c r="M429" s="71" t="n"/>
      <c r="N429" s="71" t="n"/>
      <c r="O429" s="71" t="n"/>
      <c r="P429" s="71" t="n"/>
      <c r="Q429" s="71" t="n"/>
      <c r="R429" s="46" t="n"/>
      <c r="S429" s="46" t="n"/>
      <c r="T429" s="71" t="n"/>
      <c r="U429" s="71" t="n"/>
      <c r="V429" s="71" t="n"/>
      <c r="W429" s="71" t="n"/>
      <c r="X429" s="71" t="n"/>
    </row>
    <row r="430">
      <c r="A430" s="72" t="n"/>
      <c r="B430" s="72" t="n"/>
      <c r="C430" s="72" t="n"/>
      <c r="D430" s="72" t="n"/>
      <c r="E430" s="72" t="n"/>
      <c r="F430" s="73" t="n"/>
      <c r="G430" s="73" t="n"/>
      <c r="H430" s="72" t="n"/>
      <c r="I430" s="72" t="n"/>
      <c r="J430" s="72" t="n"/>
      <c r="K430" s="72" t="n"/>
      <c r="L430" s="72" t="n"/>
      <c r="M430" s="72" t="n"/>
      <c r="N430" s="72" t="n"/>
      <c r="O430" s="72" t="n"/>
      <c r="P430" s="72" t="n"/>
      <c r="Q430" s="72" t="n"/>
      <c r="R430" s="73" t="n"/>
      <c r="S430" s="73" t="n"/>
      <c r="T430" s="72" t="n"/>
      <c r="U430" s="72" t="n"/>
      <c r="V430" s="72" t="n"/>
      <c r="W430" s="72" t="n"/>
      <c r="X430" s="72" t="n"/>
    </row>
    <row r="431">
      <c r="A431" s="71" t="n"/>
      <c r="B431" s="71" t="n"/>
      <c r="C431" s="71" t="n"/>
      <c r="D431" s="71" t="n"/>
      <c r="E431" s="71" t="n"/>
      <c r="F431" s="46" t="n"/>
      <c r="G431" s="46" t="n"/>
      <c r="H431" s="71" t="n"/>
      <c r="I431" s="71" t="n"/>
      <c r="J431" s="71" t="n"/>
      <c r="K431" s="71" t="n"/>
      <c r="L431" s="71" t="n"/>
      <c r="M431" s="71" t="n"/>
      <c r="N431" s="71" t="n"/>
      <c r="O431" s="71" t="n"/>
      <c r="P431" s="71" t="n"/>
      <c r="Q431" s="71" t="n"/>
      <c r="R431" s="46" t="n"/>
      <c r="S431" s="46" t="n"/>
      <c r="T431" s="71" t="n"/>
      <c r="U431" s="71" t="n"/>
      <c r="V431" s="71" t="n"/>
      <c r="W431" s="71" t="n"/>
      <c r="X431" s="71" t="n"/>
    </row>
    <row r="432">
      <c r="A432" s="72" t="n"/>
      <c r="B432" s="72" t="n"/>
      <c r="C432" s="72" t="n"/>
      <c r="D432" s="72" t="n"/>
      <c r="E432" s="72" t="n"/>
      <c r="F432" s="73" t="n"/>
      <c r="G432" s="73" t="n"/>
      <c r="H432" s="72" t="n"/>
      <c r="I432" s="72" t="n"/>
      <c r="J432" s="72" t="n"/>
      <c r="K432" s="72" t="n"/>
      <c r="L432" s="72" t="n"/>
      <c r="M432" s="72" t="n"/>
      <c r="N432" s="72" t="n"/>
      <c r="O432" s="72" t="n"/>
      <c r="P432" s="72" t="n"/>
      <c r="Q432" s="72" t="n"/>
      <c r="R432" s="73" t="n"/>
      <c r="S432" s="73" t="n"/>
      <c r="T432" s="72" t="n"/>
      <c r="U432" s="72" t="n"/>
      <c r="V432" s="72" t="n"/>
      <c r="W432" s="72" t="n"/>
      <c r="X432" s="72" t="n"/>
    </row>
    <row r="433">
      <c r="A433" s="71" t="n"/>
      <c r="B433" s="71" t="n"/>
      <c r="C433" s="71" t="n"/>
      <c r="D433" s="71" t="n"/>
      <c r="E433" s="71" t="n"/>
      <c r="F433" s="46" t="n"/>
      <c r="G433" s="46" t="n"/>
      <c r="H433" s="71" t="n"/>
      <c r="I433" s="71" t="n"/>
      <c r="J433" s="71" t="n"/>
      <c r="K433" s="71" t="n"/>
      <c r="L433" s="71" t="n"/>
      <c r="M433" s="71" t="n"/>
      <c r="N433" s="71" t="n"/>
      <c r="O433" s="71" t="n"/>
      <c r="P433" s="71" t="n"/>
      <c r="Q433" s="71" t="n"/>
      <c r="R433" s="46" t="n"/>
      <c r="S433" s="46" t="n"/>
      <c r="T433" s="71" t="n"/>
      <c r="U433" s="71" t="n"/>
      <c r="V433" s="71" t="n"/>
      <c r="W433" s="71" t="n"/>
      <c r="X433" s="71" t="n"/>
    </row>
    <row r="434">
      <c r="A434" s="72" t="n"/>
      <c r="B434" s="72" t="n"/>
      <c r="C434" s="72" t="n"/>
      <c r="D434" s="72" t="n"/>
      <c r="E434" s="72" t="n"/>
      <c r="F434" s="73" t="n"/>
      <c r="G434" s="73" t="n"/>
      <c r="H434" s="72" t="n"/>
      <c r="I434" s="72" t="n"/>
      <c r="J434" s="72" t="n"/>
      <c r="K434" s="72" t="n"/>
      <c r="L434" s="72" t="n"/>
      <c r="M434" s="72" t="n"/>
      <c r="N434" s="72" t="n"/>
      <c r="O434" s="72" t="n"/>
      <c r="P434" s="72" t="n"/>
      <c r="Q434" s="72" t="n"/>
      <c r="R434" s="73" t="n"/>
      <c r="S434" s="73" t="n"/>
      <c r="T434" s="72" t="n"/>
      <c r="U434" s="72" t="n"/>
      <c r="V434" s="72" t="n"/>
      <c r="W434" s="72" t="n"/>
      <c r="X434" s="72" t="n"/>
    </row>
    <row r="435">
      <c r="A435" s="71" t="n"/>
      <c r="B435" s="71" t="n"/>
      <c r="C435" s="71" t="n"/>
      <c r="D435" s="71" t="n"/>
      <c r="E435" s="71" t="n"/>
      <c r="F435" s="46" t="n"/>
      <c r="G435" s="46" t="n"/>
      <c r="H435" s="71" t="n"/>
      <c r="I435" s="71" t="n"/>
      <c r="J435" s="71" t="n"/>
      <c r="K435" s="71" t="n"/>
      <c r="L435" s="71" t="n"/>
      <c r="M435" s="71" t="n"/>
      <c r="N435" s="71" t="n"/>
      <c r="O435" s="71" t="n"/>
      <c r="P435" s="71" t="n"/>
      <c r="Q435" s="71" t="n"/>
      <c r="R435" s="46" t="n"/>
      <c r="S435" s="46" t="n"/>
      <c r="T435" s="71" t="n"/>
      <c r="U435" s="71" t="n"/>
      <c r="V435" s="71" t="n"/>
      <c r="W435" s="71" t="n"/>
      <c r="X435" s="71" t="n"/>
    </row>
    <row r="436">
      <c r="A436" s="72" t="n"/>
      <c r="B436" s="72" t="n"/>
      <c r="C436" s="72" t="n"/>
      <c r="D436" s="72" t="n"/>
      <c r="E436" s="72" t="n"/>
      <c r="F436" s="73" t="n"/>
      <c r="G436" s="73" t="n"/>
      <c r="H436" s="72" t="n"/>
      <c r="I436" s="72" t="n"/>
      <c r="J436" s="72" t="n"/>
      <c r="K436" s="72" t="n"/>
      <c r="L436" s="72" t="n"/>
      <c r="M436" s="72" t="n"/>
      <c r="N436" s="72" t="n"/>
      <c r="O436" s="72" t="n"/>
      <c r="P436" s="72" t="n"/>
      <c r="Q436" s="72" t="n"/>
      <c r="R436" s="73" t="n"/>
      <c r="S436" s="73" t="n"/>
      <c r="T436" s="72" t="n"/>
      <c r="U436" s="72" t="n"/>
      <c r="V436" s="72" t="n"/>
      <c r="W436" s="72" t="n"/>
      <c r="X436" s="72" t="n"/>
    </row>
    <row r="437">
      <c r="A437" s="71" t="n"/>
      <c r="B437" s="71" t="n"/>
      <c r="C437" s="71" t="n"/>
      <c r="D437" s="71" t="n"/>
      <c r="E437" s="71" t="n"/>
      <c r="F437" s="46" t="n"/>
      <c r="G437" s="46" t="n"/>
      <c r="H437" s="71" t="n"/>
      <c r="I437" s="71" t="n"/>
      <c r="J437" s="71" t="n"/>
      <c r="K437" s="71" t="n"/>
      <c r="L437" s="71" t="n"/>
      <c r="M437" s="71" t="n"/>
      <c r="N437" s="71" t="n"/>
      <c r="O437" s="71" t="n"/>
      <c r="P437" s="71" t="n"/>
      <c r="Q437" s="71" t="n"/>
      <c r="R437" s="46" t="n"/>
      <c r="S437" s="46" t="n"/>
      <c r="T437" s="71" t="n"/>
      <c r="U437" s="71" t="n"/>
      <c r="V437" s="71" t="n"/>
      <c r="W437" s="71" t="n"/>
      <c r="X437" s="71" t="n"/>
    </row>
    <row r="438">
      <c r="A438" s="72" t="n"/>
      <c r="B438" s="72" t="n"/>
      <c r="C438" s="72" t="n"/>
      <c r="D438" s="72" t="n"/>
      <c r="E438" s="72" t="n"/>
      <c r="F438" s="73" t="n"/>
      <c r="G438" s="73" t="n"/>
      <c r="H438" s="72" t="n"/>
      <c r="I438" s="72" t="n"/>
      <c r="J438" s="72" t="n"/>
      <c r="K438" s="72" t="n"/>
      <c r="L438" s="72" t="n"/>
      <c r="M438" s="72" t="n"/>
      <c r="N438" s="72" t="n"/>
      <c r="O438" s="72" t="n"/>
      <c r="P438" s="72" t="n"/>
      <c r="Q438" s="72" t="n"/>
      <c r="R438" s="73" t="n"/>
      <c r="S438" s="73" t="n"/>
      <c r="T438" s="72" t="n"/>
      <c r="U438" s="72" t="n"/>
      <c r="V438" s="72" t="n"/>
      <c r="W438" s="72" t="n"/>
      <c r="X438" s="72" t="n"/>
    </row>
    <row r="439">
      <c r="A439" s="71" t="n"/>
      <c r="B439" s="71" t="n"/>
      <c r="C439" s="71" t="n"/>
      <c r="D439" s="71" t="n"/>
      <c r="E439" s="71" t="n"/>
      <c r="F439" s="46" t="n"/>
      <c r="G439" s="46" t="n"/>
      <c r="H439" s="71" t="n"/>
      <c r="I439" s="71" t="n"/>
      <c r="J439" s="71" t="n"/>
      <c r="K439" s="71" t="n"/>
      <c r="L439" s="71" t="n"/>
      <c r="M439" s="71" t="n"/>
      <c r="N439" s="71" t="n"/>
      <c r="O439" s="71" t="n"/>
      <c r="P439" s="71" t="n"/>
      <c r="Q439" s="71" t="n"/>
      <c r="R439" s="46" t="n"/>
      <c r="S439" s="46" t="n"/>
      <c r="T439" s="71" t="n"/>
      <c r="U439" s="71" t="n"/>
      <c r="V439" s="71" t="n"/>
      <c r="W439" s="71" t="n"/>
      <c r="X439" s="71" t="n"/>
    </row>
    <row r="440">
      <c r="A440" s="72" t="n"/>
      <c r="B440" s="72" t="n"/>
      <c r="C440" s="72" t="n"/>
      <c r="D440" s="72" t="n"/>
      <c r="E440" s="72" t="n"/>
      <c r="F440" s="73" t="n"/>
      <c r="G440" s="73" t="n"/>
      <c r="H440" s="72" t="n"/>
      <c r="I440" s="72" t="n"/>
      <c r="J440" s="72" t="n"/>
      <c r="K440" s="72" t="n"/>
      <c r="L440" s="72" t="n"/>
      <c r="M440" s="72" t="n"/>
      <c r="N440" s="72" t="n"/>
      <c r="O440" s="72" t="n"/>
      <c r="P440" s="72" t="n"/>
      <c r="Q440" s="72" t="n"/>
      <c r="R440" s="73" t="n"/>
      <c r="S440" s="73" t="n"/>
      <c r="T440" s="72" t="n"/>
      <c r="U440" s="72" t="n"/>
      <c r="V440" s="72" t="n"/>
      <c r="W440" s="72" t="n"/>
      <c r="X440" s="72" t="n"/>
    </row>
    <row r="441">
      <c r="A441" s="71" t="n"/>
      <c r="B441" s="71" t="n"/>
      <c r="C441" s="71" t="n"/>
      <c r="D441" s="71" t="n"/>
      <c r="E441" s="71" t="n"/>
      <c r="F441" s="46" t="n"/>
      <c r="G441" s="46" t="n"/>
      <c r="H441" s="71" t="n"/>
      <c r="I441" s="71" t="n"/>
      <c r="J441" s="71" t="n"/>
      <c r="K441" s="71" t="n"/>
      <c r="L441" s="71" t="n"/>
      <c r="M441" s="71" t="n"/>
      <c r="N441" s="71" t="n"/>
      <c r="O441" s="71" t="n"/>
      <c r="P441" s="71" t="n"/>
      <c r="Q441" s="71" t="n"/>
      <c r="R441" s="46" t="n"/>
      <c r="S441" s="46" t="n"/>
      <c r="T441" s="71" t="n"/>
      <c r="U441" s="71" t="n"/>
      <c r="V441" s="71" t="n"/>
      <c r="W441" s="71" t="n"/>
      <c r="X441" s="71" t="n"/>
    </row>
    <row r="442">
      <c r="A442" s="72" t="n"/>
      <c r="B442" s="72" t="n"/>
      <c r="C442" s="72" t="n"/>
      <c r="D442" s="72" t="n"/>
      <c r="E442" s="72" t="n"/>
      <c r="F442" s="73" t="n"/>
      <c r="G442" s="73" t="n"/>
      <c r="H442" s="72" t="n"/>
      <c r="I442" s="72" t="n"/>
      <c r="J442" s="72" t="n"/>
      <c r="K442" s="72" t="n"/>
      <c r="L442" s="72" t="n"/>
      <c r="M442" s="72" t="n"/>
      <c r="N442" s="72" t="n"/>
      <c r="O442" s="72" t="n"/>
      <c r="P442" s="72" t="n"/>
      <c r="Q442" s="72" t="n"/>
      <c r="R442" s="73" t="n"/>
      <c r="S442" s="73" t="n"/>
      <c r="T442" s="72" t="n"/>
      <c r="U442" s="72" t="n"/>
      <c r="V442" s="72" t="n"/>
      <c r="W442" s="72" t="n"/>
      <c r="X442" s="72" t="n"/>
    </row>
    <row r="443">
      <c r="A443" s="71" t="n"/>
      <c r="B443" s="71" t="n"/>
      <c r="C443" s="71" t="n"/>
      <c r="D443" s="71" t="n"/>
      <c r="E443" s="71" t="n"/>
      <c r="F443" s="46" t="n"/>
      <c r="G443" s="46" t="n"/>
      <c r="H443" s="71" t="n"/>
      <c r="I443" s="71" t="n"/>
      <c r="J443" s="71" t="n"/>
      <c r="K443" s="71" t="n"/>
      <c r="L443" s="71" t="n"/>
      <c r="M443" s="71" t="n"/>
      <c r="N443" s="71" t="n"/>
      <c r="O443" s="71" t="n"/>
      <c r="P443" s="71" t="n"/>
      <c r="Q443" s="71" t="n"/>
      <c r="R443" s="46" t="n"/>
      <c r="S443" s="46" t="n"/>
      <c r="T443" s="71" t="n"/>
      <c r="U443" s="71" t="n"/>
      <c r="V443" s="71" t="n"/>
      <c r="W443" s="71" t="n"/>
      <c r="X443" s="71" t="n"/>
    </row>
    <row r="444">
      <c r="A444" s="72" t="n"/>
      <c r="B444" s="72" t="n"/>
      <c r="C444" s="72" t="n"/>
      <c r="D444" s="72" t="n"/>
      <c r="E444" s="72" t="n"/>
      <c r="F444" s="73" t="n"/>
      <c r="G444" s="73" t="n"/>
      <c r="H444" s="72" t="n"/>
      <c r="I444" s="72" t="n"/>
      <c r="J444" s="72" t="n"/>
      <c r="K444" s="72" t="n"/>
      <c r="L444" s="72" t="n"/>
      <c r="M444" s="72" t="n"/>
      <c r="N444" s="72" t="n"/>
      <c r="O444" s="72" t="n"/>
      <c r="P444" s="72" t="n"/>
      <c r="Q444" s="72" t="n"/>
      <c r="R444" s="73" t="n"/>
      <c r="S444" s="73" t="n"/>
      <c r="T444" s="72" t="n"/>
      <c r="U444" s="72" t="n"/>
      <c r="V444" s="72" t="n"/>
      <c r="W444" s="72" t="n"/>
      <c r="X444" s="72" t="n"/>
    </row>
    <row r="445">
      <c r="A445" s="71" t="n"/>
      <c r="B445" s="71" t="n"/>
      <c r="C445" s="71" t="n"/>
      <c r="D445" s="71" t="n"/>
      <c r="E445" s="71" t="n"/>
      <c r="F445" s="46" t="n"/>
      <c r="G445" s="46" t="n"/>
      <c r="H445" s="71" t="n"/>
      <c r="I445" s="71" t="n"/>
      <c r="J445" s="71" t="n"/>
      <c r="K445" s="71" t="n"/>
      <c r="L445" s="71" t="n"/>
      <c r="M445" s="71" t="n"/>
      <c r="N445" s="71" t="n"/>
      <c r="O445" s="71" t="n"/>
      <c r="P445" s="71" t="n"/>
      <c r="Q445" s="71" t="n"/>
      <c r="R445" s="46" t="n"/>
      <c r="S445" s="46" t="n"/>
      <c r="T445" s="71" t="n"/>
      <c r="U445" s="71" t="n"/>
      <c r="V445" s="71" t="n"/>
      <c r="W445" s="71" t="n"/>
      <c r="X445" s="71" t="n"/>
    </row>
    <row r="446">
      <c r="A446" s="72" t="n"/>
      <c r="B446" s="72" t="n"/>
      <c r="C446" s="72" t="n"/>
      <c r="D446" s="72" t="n"/>
      <c r="E446" s="72" t="n"/>
      <c r="F446" s="73" t="n"/>
      <c r="G446" s="73" t="n"/>
      <c r="H446" s="72" t="n"/>
      <c r="I446" s="72" t="n"/>
      <c r="J446" s="72" t="n"/>
      <c r="K446" s="72" t="n"/>
      <c r="L446" s="72" t="n"/>
      <c r="M446" s="72" t="n"/>
      <c r="N446" s="72" t="n"/>
      <c r="O446" s="72" t="n"/>
      <c r="P446" s="72" t="n"/>
      <c r="Q446" s="72" t="n"/>
      <c r="R446" s="73" t="n"/>
      <c r="S446" s="73" t="n"/>
      <c r="T446" s="72" t="n"/>
      <c r="U446" s="72" t="n"/>
      <c r="V446" s="72" t="n"/>
      <c r="W446" s="72" t="n"/>
      <c r="X446" s="72" t="n"/>
    </row>
    <row r="447">
      <c r="A447" s="71" t="n"/>
      <c r="B447" s="71" t="n"/>
      <c r="C447" s="71" t="n"/>
      <c r="D447" s="71" t="n"/>
      <c r="E447" s="71" t="n"/>
      <c r="F447" s="46" t="n"/>
      <c r="G447" s="46" t="n"/>
      <c r="H447" s="71" t="n"/>
      <c r="I447" s="71" t="n"/>
      <c r="J447" s="71" t="n"/>
      <c r="K447" s="71" t="n"/>
      <c r="L447" s="71" t="n"/>
      <c r="M447" s="71" t="n"/>
      <c r="N447" s="71" t="n"/>
      <c r="O447" s="71" t="n"/>
      <c r="P447" s="71" t="n"/>
      <c r="Q447" s="71" t="n"/>
      <c r="R447" s="46" t="n"/>
      <c r="S447" s="46" t="n"/>
      <c r="T447" s="71" t="n"/>
      <c r="U447" s="71" t="n"/>
      <c r="V447" s="71" t="n"/>
      <c r="W447" s="71" t="n"/>
      <c r="X447" s="71" t="n"/>
    </row>
    <row r="448">
      <c r="A448" s="72" t="n"/>
      <c r="B448" s="72" t="n"/>
      <c r="C448" s="72" t="n"/>
      <c r="D448" s="72" t="n"/>
      <c r="E448" s="72" t="n"/>
      <c r="F448" s="73" t="n"/>
      <c r="G448" s="73" t="n"/>
      <c r="H448" s="72" t="n"/>
      <c r="I448" s="72" t="n"/>
      <c r="J448" s="72" t="n"/>
      <c r="K448" s="72" t="n"/>
      <c r="L448" s="72" t="n"/>
      <c r="M448" s="72" t="n"/>
      <c r="N448" s="72" t="n"/>
      <c r="O448" s="72" t="n"/>
      <c r="P448" s="72" t="n"/>
      <c r="Q448" s="72" t="n"/>
      <c r="R448" s="73" t="n"/>
      <c r="S448" s="73" t="n"/>
      <c r="T448" s="72" t="n"/>
      <c r="U448" s="72" t="n"/>
      <c r="V448" s="72" t="n"/>
      <c r="W448" s="72" t="n"/>
      <c r="X448" s="72" t="n"/>
    </row>
    <row r="449">
      <c r="A449" s="71" t="n"/>
      <c r="B449" s="71" t="n"/>
      <c r="C449" s="71" t="n"/>
      <c r="D449" s="71" t="n"/>
      <c r="E449" s="71" t="n"/>
      <c r="F449" s="46" t="n"/>
      <c r="G449" s="46" t="n"/>
      <c r="H449" s="71" t="n"/>
      <c r="I449" s="71" t="n"/>
      <c r="J449" s="71" t="n"/>
      <c r="K449" s="71" t="n"/>
      <c r="L449" s="71" t="n"/>
      <c r="M449" s="71" t="n"/>
      <c r="N449" s="71" t="n"/>
      <c r="O449" s="71" t="n"/>
      <c r="P449" s="71" t="n"/>
      <c r="Q449" s="71" t="n"/>
      <c r="R449" s="46" t="n"/>
      <c r="S449" s="46" t="n"/>
      <c r="T449" s="71" t="n"/>
      <c r="U449" s="71" t="n"/>
      <c r="V449" s="71" t="n"/>
      <c r="W449" s="71" t="n"/>
      <c r="X449" s="71" t="n"/>
    </row>
    <row r="450">
      <c r="A450" s="72" t="n"/>
      <c r="B450" s="72" t="n"/>
      <c r="C450" s="72" t="n"/>
      <c r="D450" s="72" t="n"/>
      <c r="E450" s="72" t="n"/>
      <c r="F450" s="73" t="n"/>
      <c r="G450" s="73" t="n"/>
      <c r="H450" s="72" t="n"/>
      <c r="I450" s="72" t="n"/>
      <c r="J450" s="72" t="n"/>
      <c r="K450" s="72" t="n"/>
      <c r="L450" s="72" t="n"/>
      <c r="M450" s="72" t="n"/>
      <c r="N450" s="72" t="n"/>
      <c r="O450" s="72" t="n"/>
      <c r="P450" s="72" t="n"/>
      <c r="Q450" s="72" t="n"/>
      <c r="R450" s="73" t="n"/>
      <c r="S450" s="73" t="n"/>
      <c r="T450" s="72" t="n"/>
      <c r="U450" s="72" t="n"/>
      <c r="V450" s="72" t="n"/>
      <c r="W450" s="72" t="n"/>
      <c r="X450" s="72" t="n"/>
    </row>
    <row r="451">
      <c r="A451" s="71" t="n"/>
      <c r="B451" s="71" t="n"/>
      <c r="C451" s="71" t="n"/>
      <c r="D451" s="71" t="n"/>
      <c r="E451" s="71" t="n"/>
      <c r="F451" s="46" t="n"/>
      <c r="G451" s="46" t="n"/>
      <c r="H451" s="71" t="n"/>
      <c r="I451" s="71" t="n"/>
      <c r="J451" s="71" t="n"/>
      <c r="K451" s="71" t="n"/>
      <c r="L451" s="71" t="n"/>
      <c r="M451" s="71" t="n"/>
      <c r="N451" s="71" t="n"/>
      <c r="O451" s="71" t="n"/>
      <c r="P451" s="71" t="n"/>
      <c r="Q451" s="71" t="n"/>
      <c r="R451" s="46" t="n"/>
      <c r="S451" s="46" t="n"/>
      <c r="T451" s="71" t="n"/>
      <c r="U451" s="71" t="n"/>
      <c r="V451" s="71" t="n"/>
      <c r="W451" s="71" t="n"/>
      <c r="X451" s="71" t="n"/>
    </row>
    <row r="452">
      <c r="A452" s="72" t="n"/>
      <c r="B452" s="72" t="n"/>
      <c r="C452" s="72" t="n"/>
      <c r="D452" s="72" t="n"/>
      <c r="E452" s="72" t="n"/>
      <c r="F452" s="73" t="n"/>
      <c r="G452" s="73" t="n"/>
      <c r="H452" s="72" t="n"/>
      <c r="I452" s="72" t="n"/>
      <c r="J452" s="72" t="n"/>
      <c r="K452" s="72" t="n"/>
      <c r="L452" s="72" t="n"/>
      <c r="M452" s="72" t="n"/>
      <c r="N452" s="72" t="n"/>
      <c r="O452" s="72" t="n"/>
      <c r="P452" s="72" t="n"/>
      <c r="Q452" s="72" t="n"/>
      <c r="R452" s="73" t="n"/>
      <c r="S452" s="73" t="n"/>
      <c r="T452" s="72" t="n"/>
      <c r="U452" s="72" t="n"/>
      <c r="V452" s="72" t="n"/>
      <c r="W452" s="72" t="n"/>
      <c r="X452" s="72" t="n"/>
    </row>
    <row r="453">
      <c r="A453" s="71" t="n"/>
      <c r="B453" s="71" t="n"/>
      <c r="C453" s="71" t="n"/>
      <c r="D453" s="71" t="n"/>
      <c r="E453" s="71" t="n"/>
      <c r="F453" s="46" t="n"/>
      <c r="G453" s="46" t="n"/>
      <c r="H453" s="71" t="n"/>
      <c r="I453" s="71" t="n"/>
      <c r="J453" s="71" t="n"/>
      <c r="K453" s="71" t="n"/>
      <c r="L453" s="71" t="n"/>
      <c r="M453" s="71" t="n"/>
      <c r="N453" s="71" t="n"/>
      <c r="O453" s="71" t="n"/>
      <c r="P453" s="71" t="n"/>
      <c r="Q453" s="71" t="n"/>
      <c r="R453" s="46" t="n"/>
      <c r="S453" s="46" t="n"/>
      <c r="T453" s="71" t="n"/>
      <c r="U453" s="71" t="n"/>
      <c r="V453" s="71" t="n"/>
      <c r="W453" s="71" t="n"/>
      <c r="X453" s="71" t="n"/>
    </row>
    <row r="454">
      <c r="A454" s="72" t="n"/>
      <c r="B454" s="72" t="n"/>
      <c r="C454" s="72" t="n"/>
      <c r="D454" s="72" t="n"/>
      <c r="E454" s="72" t="n"/>
      <c r="F454" s="73" t="n"/>
      <c r="G454" s="73" t="n"/>
      <c r="H454" s="72" t="n"/>
      <c r="I454" s="72" t="n"/>
      <c r="J454" s="72" t="n"/>
      <c r="K454" s="72" t="n"/>
      <c r="L454" s="72" t="n"/>
      <c r="M454" s="72" t="n"/>
      <c r="N454" s="72" t="n"/>
      <c r="O454" s="72" t="n"/>
      <c r="P454" s="72" t="n"/>
      <c r="Q454" s="72" t="n"/>
      <c r="R454" s="73" t="n"/>
      <c r="S454" s="73" t="n"/>
      <c r="T454" s="72" t="n"/>
      <c r="U454" s="72" t="n"/>
      <c r="V454" s="72" t="n"/>
      <c r="W454" s="72" t="n"/>
      <c r="X454" s="72" t="n"/>
    </row>
    <row r="455">
      <c r="A455" s="71" t="n"/>
      <c r="B455" s="71" t="n"/>
      <c r="C455" s="71" t="n"/>
      <c r="D455" s="71" t="n"/>
      <c r="E455" s="71" t="n"/>
      <c r="F455" s="46" t="n"/>
      <c r="G455" s="46" t="n"/>
      <c r="H455" s="71" t="n"/>
      <c r="I455" s="71" t="n"/>
      <c r="J455" s="71" t="n"/>
      <c r="K455" s="71" t="n"/>
      <c r="L455" s="71" t="n"/>
      <c r="M455" s="71" t="n"/>
      <c r="N455" s="71" t="n"/>
      <c r="O455" s="71" t="n"/>
      <c r="P455" s="71" t="n"/>
      <c r="Q455" s="71" t="n"/>
      <c r="R455" s="46" t="n"/>
      <c r="S455" s="46" t="n"/>
      <c r="T455" s="71" t="n"/>
      <c r="U455" s="71" t="n"/>
      <c r="V455" s="71" t="n"/>
      <c r="W455" s="71" t="n"/>
      <c r="X455" s="71" t="n"/>
    </row>
    <row r="456">
      <c r="A456" s="72" t="n"/>
      <c r="B456" s="72" t="n"/>
      <c r="C456" s="72" t="n"/>
      <c r="D456" s="72" t="n"/>
      <c r="E456" s="72" t="n"/>
      <c r="F456" s="73" t="n"/>
      <c r="G456" s="73" t="n"/>
      <c r="H456" s="72" t="n"/>
      <c r="I456" s="72" t="n"/>
      <c r="J456" s="72" t="n"/>
      <c r="K456" s="72" t="n"/>
      <c r="L456" s="72" t="n"/>
      <c r="M456" s="72" t="n"/>
      <c r="N456" s="72" t="n"/>
      <c r="O456" s="72" t="n"/>
      <c r="P456" s="72" t="n"/>
      <c r="Q456" s="72" t="n"/>
      <c r="R456" s="73" t="n"/>
      <c r="S456" s="73" t="n"/>
      <c r="T456" s="72" t="n"/>
      <c r="U456" s="72" t="n"/>
      <c r="V456" s="72" t="n"/>
      <c r="W456" s="72" t="n"/>
      <c r="X456" s="72" t="n"/>
    </row>
    <row r="457">
      <c r="A457" s="71" t="n"/>
      <c r="B457" s="71" t="n"/>
      <c r="C457" s="71" t="n"/>
      <c r="D457" s="71" t="n"/>
      <c r="E457" s="71" t="n"/>
      <c r="F457" s="46" t="n"/>
      <c r="G457" s="46" t="n"/>
      <c r="H457" s="71" t="n"/>
      <c r="I457" s="71" t="n"/>
      <c r="J457" s="71" t="n"/>
      <c r="K457" s="71" t="n"/>
      <c r="L457" s="71" t="n"/>
      <c r="M457" s="71" t="n"/>
      <c r="N457" s="71" t="n"/>
      <c r="O457" s="71" t="n"/>
      <c r="P457" s="71" t="n"/>
      <c r="Q457" s="71" t="n"/>
      <c r="R457" s="46" t="n"/>
      <c r="S457" s="46" t="n"/>
      <c r="T457" s="71" t="n"/>
      <c r="U457" s="71" t="n"/>
      <c r="V457" s="71" t="n"/>
      <c r="W457" s="71" t="n"/>
      <c r="X457" s="71" t="n"/>
    </row>
    <row r="458">
      <c r="A458" s="72" t="n"/>
      <c r="B458" s="72" t="n"/>
      <c r="C458" s="72" t="n"/>
      <c r="D458" s="72" t="n"/>
      <c r="E458" s="72" t="n"/>
      <c r="F458" s="73" t="n"/>
      <c r="G458" s="73" t="n"/>
      <c r="H458" s="72" t="n"/>
      <c r="I458" s="72" t="n"/>
      <c r="J458" s="72" t="n"/>
      <c r="K458" s="72" t="n"/>
      <c r="L458" s="72" t="n"/>
      <c r="M458" s="72" t="n"/>
      <c r="N458" s="72" t="n"/>
      <c r="O458" s="72" t="n"/>
      <c r="P458" s="72" t="n"/>
      <c r="Q458" s="72" t="n"/>
      <c r="R458" s="73" t="n"/>
      <c r="S458" s="73" t="n"/>
      <c r="T458" s="72" t="n"/>
      <c r="U458" s="72" t="n"/>
      <c r="V458" s="72" t="n"/>
      <c r="W458" s="72" t="n"/>
      <c r="X458" s="72" t="n"/>
    </row>
    <row r="459">
      <c r="A459" s="71" t="n"/>
      <c r="B459" s="71" t="n"/>
      <c r="C459" s="71" t="n"/>
      <c r="D459" s="71" t="n"/>
      <c r="E459" s="71" t="n"/>
      <c r="F459" s="46" t="n"/>
      <c r="G459" s="46" t="n"/>
      <c r="H459" s="71" t="n"/>
      <c r="I459" s="71" t="n"/>
      <c r="J459" s="71" t="n"/>
      <c r="K459" s="71" t="n"/>
      <c r="L459" s="71" t="n"/>
      <c r="M459" s="71" t="n"/>
      <c r="N459" s="71" t="n"/>
      <c r="O459" s="71" t="n"/>
      <c r="P459" s="71" t="n"/>
      <c r="Q459" s="71" t="n"/>
      <c r="R459" s="46" t="n"/>
      <c r="S459" s="46" t="n"/>
      <c r="T459" s="71" t="n"/>
      <c r="U459" s="71" t="n"/>
      <c r="V459" s="71" t="n"/>
      <c r="W459" s="71" t="n"/>
      <c r="X459" s="71" t="n"/>
    </row>
    <row r="460">
      <c r="A460" s="72" t="n"/>
      <c r="B460" s="72" t="n"/>
      <c r="C460" s="72" t="n"/>
      <c r="D460" s="72" t="n"/>
      <c r="E460" s="72" t="n"/>
      <c r="F460" s="73" t="n"/>
      <c r="G460" s="73" t="n"/>
      <c r="H460" s="72" t="n"/>
      <c r="I460" s="72" t="n"/>
      <c r="J460" s="72" t="n"/>
      <c r="K460" s="72" t="n"/>
      <c r="L460" s="72" t="n"/>
      <c r="M460" s="72" t="n"/>
      <c r="N460" s="72" t="n"/>
      <c r="O460" s="72" t="n"/>
      <c r="P460" s="72" t="n"/>
      <c r="Q460" s="72" t="n"/>
      <c r="R460" s="73" t="n"/>
      <c r="S460" s="73" t="n"/>
      <c r="T460" s="72" t="n"/>
      <c r="U460" s="72" t="n"/>
      <c r="V460" s="72" t="n"/>
      <c r="W460" s="72" t="n"/>
      <c r="X460" s="72" t="n"/>
    </row>
    <row r="461">
      <c r="A461" s="71" t="n"/>
      <c r="B461" s="71" t="n"/>
      <c r="C461" s="71" t="n"/>
      <c r="D461" s="71" t="n"/>
      <c r="E461" s="71" t="n"/>
      <c r="F461" s="46" t="n"/>
      <c r="G461" s="46" t="n"/>
      <c r="H461" s="71" t="n"/>
      <c r="I461" s="71" t="n"/>
      <c r="J461" s="71" t="n"/>
      <c r="K461" s="71" t="n"/>
      <c r="L461" s="71" t="n"/>
      <c r="M461" s="71" t="n"/>
      <c r="N461" s="71" t="n"/>
      <c r="O461" s="71" t="n"/>
      <c r="P461" s="71" t="n"/>
      <c r="Q461" s="71" t="n"/>
      <c r="R461" s="46" t="n"/>
      <c r="S461" s="46" t="n"/>
      <c r="T461" s="71" t="n"/>
      <c r="U461" s="71" t="n"/>
      <c r="V461" s="71" t="n"/>
      <c r="W461" s="71" t="n"/>
      <c r="X461" s="71" t="n"/>
    </row>
    <row r="462">
      <c r="A462" s="72" t="n"/>
      <c r="B462" s="72" t="n"/>
      <c r="C462" s="72" t="n"/>
      <c r="D462" s="72" t="n"/>
      <c r="E462" s="72" t="n"/>
      <c r="F462" s="73" t="n"/>
      <c r="G462" s="73" t="n"/>
      <c r="H462" s="72" t="n"/>
      <c r="I462" s="72" t="n"/>
      <c r="J462" s="72" t="n"/>
      <c r="K462" s="72" t="n"/>
      <c r="L462" s="72" t="n"/>
      <c r="M462" s="72" t="n"/>
      <c r="N462" s="72" t="n"/>
      <c r="O462" s="72" t="n"/>
      <c r="P462" s="72" t="n"/>
      <c r="Q462" s="72" t="n"/>
      <c r="R462" s="73" t="n"/>
      <c r="S462" s="73" t="n"/>
      <c r="T462" s="72" t="n"/>
      <c r="U462" s="72" t="n"/>
      <c r="V462" s="72" t="n"/>
      <c r="W462" s="72" t="n"/>
      <c r="X462" s="72" t="n"/>
    </row>
    <row r="463">
      <c r="A463" s="71" t="n"/>
      <c r="B463" s="71" t="n"/>
      <c r="C463" s="71" t="n"/>
      <c r="D463" s="71" t="n"/>
      <c r="E463" s="71" t="n"/>
      <c r="F463" s="46" t="n"/>
      <c r="G463" s="46" t="n"/>
      <c r="H463" s="71" t="n"/>
      <c r="I463" s="71" t="n"/>
      <c r="J463" s="71" t="n"/>
      <c r="K463" s="71" t="n"/>
      <c r="L463" s="71" t="n"/>
      <c r="M463" s="71" t="n"/>
      <c r="N463" s="71" t="n"/>
      <c r="O463" s="71" t="n"/>
      <c r="P463" s="71" t="n"/>
      <c r="Q463" s="71" t="n"/>
      <c r="R463" s="46" t="n"/>
      <c r="S463" s="46" t="n"/>
      <c r="T463" s="71" t="n"/>
      <c r="U463" s="71" t="n"/>
      <c r="V463" s="71" t="n"/>
      <c r="W463" s="71" t="n"/>
      <c r="X463" s="71" t="n"/>
    </row>
    <row r="464">
      <c r="A464" s="72" t="n"/>
      <c r="B464" s="72" t="n"/>
      <c r="C464" s="72" t="n"/>
      <c r="D464" s="72" t="n"/>
      <c r="E464" s="72" t="n"/>
      <c r="F464" s="73" t="n"/>
      <c r="G464" s="73" t="n"/>
      <c r="H464" s="72" t="n"/>
      <c r="I464" s="72" t="n"/>
      <c r="J464" s="72" t="n"/>
      <c r="K464" s="72" t="n"/>
      <c r="L464" s="72" t="n"/>
      <c r="M464" s="72" t="n"/>
      <c r="N464" s="72" t="n"/>
      <c r="O464" s="72" t="n"/>
      <c r="P464" s="72" t="n"/>
      <c r="Q464" s="72" t="n"/>
      <c r="R464" s="73" t="n"/>
      <c r="S464" s="73" t="n"/>
      <c r="T464" s="72" t="n"/>
      <c r="U464" s="72" t="n"/>
      <c r="V464" s="72" t="n"/>
      <c r="W464" s="72" t="n"/>
      <c r="X464" s="72" t="n"/>
    </row>
    <row r="465">
      <c r="A465" s="71" t="n"/>
      <c r="B465" s="71" t="n"/>
      <c r="C465" s="71" t="n"/>
      <c r="D465" s="71" t="n"/>
      <c r="E465" s="71" t="n"/>
      <c r="F465" s="46" t="n"/>
      <c r="G465" s="46" t="n"/>
      <c r="H465" s="71" t="n"/>
      <c r="I465" s="71" t="n"/>
      <c r="J465" s="71" t="n"/>
      <c r="K465" s="71" t="n"/>
      <c r="L465" s="71" t="n"/>
      <c r="M465" s="71" t="n"/>
      <c r="N465" s="71" t="n"/>
      <c r="O465" s="71" t="n"/>
      <c r="P465" s="71" t="n"/>
      <c r="Q465" s="71" t="n"/>
      <c r="R465" s="46" t="n"/>
      <c r="S465" s="46" t="n"/>
      <c r="T465" s="71" t="n"/>
      <c r="U465" s="71" t="n"/>
      <c r="V465" s="71" t="n"/>
      <c r="W465" s="71" t="n"/>
      <c r="X465" s="71" t="n"/>
    </row>
    <row r="466">
      <c r="A466" s="72" t="n"/>
      <c r="B466" s="72" t="n"/>
      <c r="C466" s="72" t="n"/>
      <c r="D466" s="72" t="n"/>
      <c r="E466" s="72" t="n"/>
      <c r="F466" s="73" t="n"/>
      <c r="G466" s="73" t="n"/>
      <c r="H466" s="72" t="n"/>
      <c r="I466" s="72" t="n"/>
      <c r="J466" s="72" t="n"/>
      <c r="K466" s="72" t="n"/>
      <c r="L466" s="72" t="n"/>
      <c r="M466" s="72" t="n"/>
      <c r="N466" s="72" t="n"/>
      <c r="O466" s="72" t="n"/>
      <c r="P466" s="72" t="n"/>
      <c r="Q466" s="72" t="n"/>
      <c r="R466" s="73" t="n"/>
      <c r="S466" s="73" t="n"/>
      <c r="T466" s="72" t="n"/>
      <c r="U466" s="72" t="n"/>
      <c r="V466" s="72" t="n"/>
      <c r="W466" s="72" t="n"/>
      <c r="X466" s="72" t="n"/>
    </row>
    <row r="467">
      <c r="A467" s="71" t="n"/>
      <c r="B467" s="71" t="n"/>
      <c r="C467" s="71" t="n"/>
      <c r="D467" s="71" t="n"/>
      <c r="E467" s="71" t="n"/>
      <c r="F467" s="46" t="n"/>
      <c r="G467" s="46" t="n"/>
      <c r="H467" s="71" t="n"/>
      <c r="I467" s="71" t="n"/>
      <c r="J467" s="71" t="n"/>
      <c r="K467" s="71" t="n"/>
      <c r="L467" s="71" t="n"/>
      <c r="M467" s="71" t="n"/>
      <c r="N467" s="71" t="n"/>
      <c r="O467" s="71" t="n"/>
      <c r="P467" s="71" t="n"/>
      <c r="Q467" s="71" t="n"/>
      <c r="R467" s="46" t="n"/>
      <c r="S467" s="46" t="n"/>
      <c r="T467" s="71" t="n"/>
      <c r="U467" s="71" t="n"/>
      <c r="V467" s="71" t="n"/>
      <c r="W467" s="71" t="n"/>
      <c r="X467" s="71" t="n"/>
    </row>
    <row r="468">
      <c r="A468" s="72" t="n"/>
      <c r="B468" s="72" t="n"/>
      <c r="C468" s="72" t="n"/>
      <c r="D468" s="72" t="n"/>
      <c r="E468" s="72" t="n"/>
      <c r="F468" s="73" t="n"/>
      <c r="G468" s="73" t="n"/>
      <c r="H468" s="72" t="n"/>
      <c r="I468" s="72" t="n"/>
      <c r="J468" s="72" t="n"/>
      <c r="K468" s="72" t="n"/>
      <c r="L468" s="72" t="n"/>
      <c r="M468" s="72" t="n"/>
      <c r="N468" s="72" t="n"/>
      <c r="O468" s="72" t="n"/>
      <c r="P468" s="72" t="n"/>
      <c r="Q468" s="72" t="n"/>
      <c r="R468" s="73" t="n"/>
      <c r="S468" s="73" t="n"/>
      <c r="T468" s="72" t="n"/>
      <c r="U468" s="72" t="n"/>
      <c r="V468" s="72" t="n"/>
      <c r="W468" s="72" t="n"/>
      <c r="X468" s="72" t="n"/>
    </row>
    <row r="469">
      <c r="A469" s="71" t="n"/>
      <c r="B469" s="71" t="n"/>
      <c r="C469" s="71" t="n"/>
      <c r="D469" s="71" t="n"/>
      <c r="E469" s="71" t="n"/>
      <c r="F469" s="46" t="n"/>
      <c r="G469" s="46" t="n"/>
      <c r="H469" s="71" t="n"/>
      <c r="I469" s="71" t="n"/>
      <c r="J469" s="71" t="n"/>
      <c r="K469" s="71" t="n"/>
      <c r="L469" s="71" t="n"/>
      <c r="M469" s="71" t="n"/>
      <c r="N469" s="71" t="n"/>
      <c r="O469" s="71" t="n"/>
      <c r="P469" s="71" t="n"/>
      <c r="Q469" s="71" t="n"/>
      <c r="R469" s="46" t="n"/>
      <c r="S469" s="46" t="n"/>
      <c r="T469" s="71" t="n"/>
      <c r="U469" s="71" t="n"/>
      <c r="V469" s="71" t="n"/>
      <c r="W469" s="71" t="n"/>
      <c r="X469" s="71" t="n"/>
    </row>
    <row r="470">
      <c r="A470" s="72" t="n"/>
      <c r="B470" s="72" t="n"/>
      <c r="C470" s="72" t="n"/>
      <c r="D470" s="72" t="n"/>
      <c r="E470" s="72" t="n"/>
      <c r="F470" s="73" t="n"/>
      <c r="G470" s="73" t="n"/>
      <c r="H470" s="72" t="n"/>
      <c r="I470" s="72" t="n"/>
      <c r="J470" s="72" t="n"/>
      <c r="K470" s="72" t="n"/>
      <c r="L470" s="72" t="n"/>
      <c r="M470" s="72" t="n"/>
      <c r="N470" s="72" t="n"/>
      <c r="O470" s="72" t="n"/>
      <c r="P470" s="72" t="n"/>
      <c r="Q470" s="72" t="n"/>
      <c r="R470" s="73" t="n"/>
      <c r="S470" s="73" t="n"/>
      <c r="T470" s="72" t="n"/>
      <c r="U470" s="72" t="n"/>
      <c r="V470" s="72" t="n"/>
      <c r="W470" s="72" t="n"/>
      <c r="X470" s="72" t="n"/>
    </row>
    <row r="471">
      <c r="A471" s="71" t="n"/>
      <c r="B471" s="71" t="n"/>
      <c r="C471" s="71" t="n"/>
      <c r="D471" s="71" t="n"/>
      <c r="E471" s="71" t="n"/>
      <c r="F471" s="46" t="n"/>
      <c r="G471" s="46" t="n"/>
      <c r="H471" s="71" t="n"/>
      <c r="I471" s="71" t="n"/>
      <c r="J471" s="71" t="n"/>
      <c r="K471" s="71" t="n"/>
      <c r="L471" s="71" t="n"/>
      <c r="M471" s="71" t="n"/>
      <c r="N471" s="71" t="n"/>
      <c r="O471" s="71" t="n"/>
      <c r="P471" s="71" t="n"/>
      <c r="Q471" s="71" t="n"/>
      <c r="R471" s="46" t="n"/>
      <c r="S471" s="46" t="n"/>
      <c r="T471" s="71" t="n"/>
      <c r="U471" s="71" t="n"/>
      <c r="V471" s="71" t="n"/>
      <c r="W471" s="71" t="n"/>
      <c r="X471" s="71" t="n"/>
    </row>
    <row r="472">
      <c r="A472" s="72" t="n"/>
      <c r="B472" s="72" t="n"/>
      <c r="C472" s="72" t="n"/>
      <c r="D472" s="72" t="n"/>
      <c r="E472" s="72" t="n"/>
      <c r="F472" s="73" t="n"/>
      <c r="G472" s="73" t="n"/>
      <c r="H472" s="72" t="n"/>
      <c r="I472" s="72" t="n"/>
      <c r="J472" s="72" t="n"/>
      <c r="K472" s="72" t="n"/>
      <c r="L472" s="72" t="n"/>
      <c r="M472" s="72" t="n"/>
      <c r="N472" s="72" t="n"/>
      <c r="O472" s="72" t="n"/>
      <c r="P472" s="72" t="n"/>
      <c r="Q472" s="72" t="n"/>
      <c r="R472" s="73" t="n"/>
      <c r="S472" s="73" t="n"/>
      <c r="T472" s="72" t="n"/>
      <c r="U472" s="72" t="n"/>
      <c r="V472" s="72" t="n"/>
      <c r="W472" s="72" t="n"/>
      <c r="X472" s="72" t="n"/>
    </row>
    <row r="473">
      <c r="A473" s="71" t="n"/>
      <c r="B473" s="71" t="n"/>
      <c r="C473" s="71" t="n"/>
      <c r="D473" s="71" t="n"/>
      <c r="E473" s="71" t="n"/>
      <c r="F473" s="46" t="n"/>
      <c r="G473" s="46" t="n"/>
      <c r="H473" s="71" t="n"/>
      <c r="I473" s="71" t="n"/>
      <c r="J473" s="71" t="n"/>
      <c r="K473" s="71" t="n"/>
      <c r="L473" s="71" t="n"/>
      <c r="M473" s="71" t="n"/>
      <c r="N473" s="71" t="n"/>
      <c r="O473" s="71" t="n"/>
      <c r="P473" s="71" t="n"/>
      <c r="Q473" s="71" t="n"/>
      <c r="R473" s="46" t="n"/>
      <c r="S473" s="46" t="n"/>
      <c r="T473" s="71" t="n"/>
      <c r="U473" s="71" t="n"/>
      <c r="V473" s="71" t="n"/>
      <c r="W473" s="71" t="n"/>
      <c r="X473" s="71" t="n"/>
    </row>
    <row r="474">
      <c r="A474" s="72" t="n"/>
      <c r="B474" s="72" t="n"/>
      <c r="C474" s="72" t="n"/>
      <c r="D474" s="72" t="n"/>
      <c r="E474" s="72" t="n"/>
      <c r="F474" s="73" t="n"/>
      <c r="G474" s="73" t="n"/>
      <c r="H474" s="72" t="n"/>
      <c r="I474" s="72" t="n"/>
      <c r="J474" s="72" t="n"/>
      <c r="K474" s="72" t="n"/>
      <c r="L474" s="72" t="n"/>
      <c r="M474" s="72" t="n"/>
      <c r="N474" s="72" t="n"/>
      <c r="O474" s="72" t="n"/>
      <c r="P474" s="72" t="n"/>
      <c r="Q474" s="72" t="n"/>
      <c r="R474" s="73" t="n"/>
      <c r="S474" s="73" t="n"/>
      <c r="T474" s="72" t="n"/>
      <c r="U474" s="72" t="n"/>
      <c r="V474" s="72" t="n"/>
      <c r="W474" s="72" t="n"/>
      <c r="X474" s="72" t="n"/>
    </row>
    <row r="475">
      <c r="A475" s="71" t="n"/>
      <c r="B475" s="71" t="n"/>
      <c r="C475" s="71" t="n"/>
      <c r="D475" s="71" t="n"/>
      <c r="E475" s="71" t="n"/>
      <c r="F475" s="46" t="n"/>
      <c r="G475" s="46" t="n"/>
      <c r="H475" s="71" t="n"/>
      <c r="I475" s="71" t="n"/>
      <c r="J475" s="71" t="n"/>
      <c r="K475" s="71" t="n"/>
      <c r="L475" s="71" t="n"/>
      <c r="M475" s="71" t="n"/>
      <c r="N475" s="71" t="n"/>
      <c r="O475" s="71" t="n"/>
      <c r="P475" s="71" t="n"/>
      <c r="Q475" s="71" t="n"/>
      <c r="R475" s="46" t="n"/>
      <c r="S475" s="46" t="n"/>
      <c r="T475" s="71" t="n"/>
      <c r="U475" s="71" t="n"/>
      <c r="V475" s="71" t="n"/>
      <c r="W475" s="71" t="n"/>
      <c r="X475" s="71" t="n"/>
    </row>
    <row r="476">
      <c r="A476" s="72" t="n"/>
      <c r="B476" s="72" t="n"/>
      <c r="C476" s="72" t="n"/>
      <c r="D476" s="72" t="n"/>
      <c r="E476" s="72" t="n"/>
      <c r="F476" s="73" t="n"/>
      <c r="G476" s="73" t="n"/>
      <c r="H476" s="72" t="n"/>
      <c r="I476" s="72" t="n"/>
      <c r="J476" s="72" t="n"/>
      <c r="K476" s="72" t="n"/>
      <c r="L476" s="72" t="n"/>
      <c r="M476" s="72" t="n"/>
      <c r="N476" s="72" t="n"/>
      <c r="O476" s="72" t="n"/>
      <c r="P476" s="72" t="n"/>
      <c r="Q476" s="72" t="n"/>
      <c r="R476" s="73" t="n"/>
      <c r="S476" s="73" t="n"/>
      <c r="T476" s="72" t="n"/>
      <c r="U476" s="72" t="n"/>
      <c r="V476" s="72" t="n"/>
      <c r="W476" s="72" t="n"/>
      <c r="X476" s="72" t="n"/>
    </row>
    <row r="477">
      <c r="A477" s="71" t="n"/>
      <c r="B477" s="71" t="n"/>
      <c r="C477" s="71" t="n"/>
      <c r="D477" s="71" t="n"/>
      <c r="E477" s="71" t="n"/>
      <c r="F477" s="46" t="n"/>
      <c r="G477" s="46" t="n"/>
      <c r="H477" s="71" t="n"/>
      <c r="I477" s="71" t="n"/>
      <c r="J477" s="71" t="n"/>
      <c r="K477" s="71" t="n"/>
      <c r="L477" s="71" t="n"/>
      <c r="M477" s="71" t="n"/>
      <c r="N477" s="71" t="n"/>
      <c r="O477" s="71" t="n"/>
      <c r="P477" s="71" t="n"/>
      <c r="Q477" s="71" t="n"/>
      <c r="R477" s="46" t="n"/>
      <c r="S477" s="46" t="n"/>
      <c r="T477" s="71" t="n"/>
      <c r="U477" s="71" t="n"/>
      <c r="V477" s="71" t="n"/>
      <c r="W477" s="71" t="n"/>
      <c r="X477" s="71" t="n"/>
    </row>
    <row r="478">
      <c r="A478" s="72" t="n"/>
      <c r="B478" s="72" t="n"/>
      <c r="C478" s="72" t="n"/>
      <c r="D478" s="72" t="n"/>
      <c r="E478" s="72" t="n"/>
      <c r="F478" s="73" t="n"/>
      <c r="G478" s="73" t="n"/>
      <c r="H478" s="72" t="n"/>
      <c r="I478" s="72" t="n"/>
      <c r="J478" s="72" t="n"/>
      <c r="K478" s="72" t="n"/>
      <c r="L478" s="72" t="n"/>
      <c r="M478" s="72" t="n"/>
      <c r="N478" s="72" t="n"/>
      <c r="O478" s="72" t="n"/>
      <c r="P478" s="72" t="n"/>
      <c r="Q478" s="72" t="n"/>
      <c r="R478" s="73" t="n"/>
      <c r="S478" s="73" t="n"/>
      <c r="T478" s="72" t="n"/>
      <c r="U478" s="72" t="n"/>
      <c r="V478" s="72" t="n"/>
      <c r="W478" s="72" t="n"/>
      <c r="X478" s="72" t="n"/>
    </row>
    <row r="479">
      <c r="A479" s="71" t="n"/>
      <c r="B479" s="71" t="n"/>
      <c r="C479" s="71" t="n"/>
      <c r="D479" s="71" t="n"/>
      <c r="E479" s="71" t="n"/>
      <c r="F479" s="46" t="n"/>
      <c r="G479" s="46" t="n"/>
      <c r="H479" s="71" t="n"/>
      <c r="I479" s="71" t="n"/>
      <c r="J479" s="71" t="n"/>
      <c r="K479" s="71" t="n"/>
      <c r="L479" s="71" t="n"/>
      <c r="M479" s="71" t="n"/>
      <c r="N479" s="71" t="n"/>
      <c r="O479" s="71" t="n"/>
      <c r="P479" s="71" t="n"/>
      <c r="Q479" s="71" t="n"/>
      <c r="R479" s="46" t="n"/>
      <c r="S479" s="46" t="n"/>
      <c r="T479" s="71" t="n"/>
      <c r="U479" s="71" t="n"/>
      <c r="V479" s="71" t="n"/>
      <c r="W479" s="71" t="n"/>
      <c r="X479" s="71" t="n"/>
    </row>
    <row r="480">
      <c r="A480" s="72" t="n"/>
      <c r="B480" s="72" t="n"/>
      <c r="C480" s="72" t="n"/>
      <c r="D480" s="72" t="n"/>
      <c r="E480" s="72" t="n"/>
      <c r="F480" s="73" t="n"/>
      <c r="G480" s="73" t="n"/>
      <c r="H480" s="72" t="n"/>
      <c r="I480" s="72" t="n"/>
      <c r="J480" s="72" t="n"/>
      <c r="K480" s="72" t="n"/>
      <c r="L480" s="72" t="n"/>
      <c r="M480" s="72" t="n"/>
      <c r="N480" s="72" t="n"/>
      <c r="O480" s="72" t="n"/>
      <c r="P480" s="72" t="n"/>
      <c r="Q480" s="72" t="n"/>
      <c r="R480" s="73" t="n"/>
      <c r="S480" s="73" t="n"/>
      <c r="T480" s="72" t="n"/>
      <c r="U480" s="72" t="n"/>
      <c r="V480" s="72" t="n"/>
      <c r="W480" s="72" t="n"/>
      <c r="X480" s="72" t="n"/>
    </row>
    <row r="481">
      <c r="A481" s="71" t="n"/>
      <c r="B481" s="71" t="n"/>
      <c r="C481" s="71" t="n"/>
      <c r="D481" s="71" t="n"/>
      <c r="E481" s="71" t="n"/>
      <c r="F481" s="46" t="n"/>
      <c r="G481" s="46" t="n"/>
      <c r="H481" s="71" t="n"/>
      <c r="I481" s="71" t="n"/>
      <c r="J481" s="71" t="n"/>
      <c r="K481" s="71" t="n"/>
      <c r="L481" s="71" t="n"/>
      <c r="M481" s="71" t="n"/>
      <c r="N481" s="71" t="n"/>
      <c r="O481" s="71" t="n"/>
      <c r="P481" s="71" t="n"/>
      <c r="Q481" s="71" t="n"/>
      <c r="R481" s="46" t="n"/>
      <c r="S481" s="46" t="n"/>
      <c r="T481" s="71" t="n"/>
      <c r="U481" s="71" t="n"/>
      <c r="V481" s="71" t="n"/>
      <c r="W481" s="71" t="n"/>
      <c r="X481" s="71" t="n"/>
    </row>
    <row r="482">
      <c r="A482" s="72" t="n"/>
      <c r="B482" s="72" t="n"/>
      <c r="C482" s="72" t="n"/>
      <c r="D482" s="72" t="n"/>
      <c r="E482" s="72" t="n"/>
      <c r="F482" s="73" t="n"/>
      <c r="G482" s="73" t="n"/>
      <c r="H482" s="72" t="n"/>
      <c r="I482" s="72" t="n"/>
      <c r="J482" s="72" t="n"/>
      <c r="K482" s="72" t="n"/>
      <c r="L482" s="72" t="n"/>
      <c r="M482" s="72" t="n"/>
      <c r="N482" s="72" t="n"/>
      <c r="O482" s="72" t="n"/>
      <c r="P482" s="72" t="n"/>
      <c r="Q482" s="72" t="n"/>
      <c r="R482" s="73" t="n"/>
      <c r="S482" s="73" t="n"/>
      <c r="T482" s="72" t="n"/>
      <c r="U482" s="72" t="n"/>
      <c r="V482" s="72" t="n"/>
      <c r="W482" s="72" t="n"/>
      <c r="X482" s="72" t="n"/>
    </row>
    <row r="483">
      <c r="A483" s="71" t="n"/>
      <c r="B483" s="71" t="n"/>
      <c r="C483" s="71" t="n"/>
      <c r="D483" s="71" t="n"/>
      <c r="E483" s="71" t="n"/>
      <c r="F483" s="46" t="n"/>
      <c r="G483" s="46" t="n"/>
      <c r="H483" s="71" t="n"/>
      <c r="I483" s="71" t="n"/>
      <c r="J483" s="71" t="n"/>
      <c r="K483" s="71" t="n"/>
      <c r="L483" s="71" t="n"/>
      <c r="M483" s="71" t="n"/>
      <c r="N483" s="71" t="n"/>
      <c r="O483" s="71" t="n"/>
      <c r="P483" s="71" t="n"/>
      <c r="Q483" s="71" t="n"/>
      <c r="R483" s="46" t="n"/>
      <c r="S483" s="46" t="n"/>
      <c r="T483" s="71" t="n"/>
      <c r="U483" s="71" t="n"/>
      <c r="V483" s="71" t="n"/>
      <c r="W483" s="71" t="n"/>
      <c r="X483" s="71" t="n"/>
    </row>
    <row r="484">
      <c r="A484" s="72" t="n"/>
      <c r="B484" s="72" t="n"/>
      <c r="C484" s="72" t="n"/>
      <c r="D484" s="72" t="n"/>
      <c r="E484" s="72" t="n"/>
      <c r="F484" s="73" t="n"/>
      <c r="G484" s="73" t="n"/>
      <c r="H484" s="72" t="n"/>
      <c r="I484" s="72" t="n"/>
      <c r="J484" s="72" t="n"/>
      <c r="K484" s="72" t="n"/>
      <c r="L484" s="72" t="n"/>
      <c r="M484" s="72" t="n"/>
      <c r="N484" s="72" t="n"/>
      <c r="O484" s="72" t="n"/>
      <c r="P484" s="72" t="n"/>
      <c r="Q484" s="72" t="n"/>
      <c r="R484" s="73" t="n"/>
      <c r="S484" s="73" t="n"/>
      <c r="T484" s="72" t="n"/>
      <c r="U484" s="72" t="n"/>
      <c r="V484" s="72" t="n"/>
      <c r="W484" s="72" t="n"/>
      <c r="X484" s="72" t="n"/>
    </row>
    <row r="485">
      <c r="A485" s="71" t="n"/>
      <c r="B485" s="71" t="n"/>
      <c r="C485" s="71" t="n"/>
      <c r="D485" s="71" t="n"/>
      <c r="E485" s="71" t="n"/>
      <c r="F485" s="46" t="n"/>
      <c r="G485" s="46" t="n"/>
      <c r="H485" s="71" t="n"/>
      <c r="I485" s="71" t="n"/>
      <c r="J485" s="71" t="n"/>
      <c r="K485" s="71" t="n"/>
      <c r="L485" s="71" t="n"/>
      <c r="M485" s="71" t="n"/>
      <c r="N485" s="71" t="n"/>
      <c r="O485" s="71" t="n"/>
      <c r="P485" s="71" t="n"/>
      <c r="Q485" s="71" t="n"/>
      <c r="R485" s="46" t="n"/>
      <c r="S485" s="46" t="n"/>
      <c r="T485" s="71" t="n"/>
      <c r="U485" s="71" t="n"/>
      <c r="V485" s="71" t="n"/>
      <c r="W485" s="71" t="n"/>
      <c r="X485" s="71" t="n"/>
    </row>
    <row r="486">
      <c r="A486" s="72" t="n"/>
      <c r="B486" s="72" t="n"/>
      <c r="C486" s="72" t="n"/>
      <c r="D486" s="72" t="n"/>
      <c r="E486" s="72" t="n"/>
      <c r="F486" s="73" t="n"/>
      <c r="G486" s="73" t="n"/>
      <c r="H486" s="72" t="n"/>
      <c r="I486" s="72" t="n"/>
      <c r="J486" s="72" t="n"/>
      <c r="K486" s="72" t="n"/>
      <c r="L486" s="72" t="n"/>
      <c r="M486" s="72" t="n"/>
      <c r="N486" s="72" t="n"/>
      <c r="O486" s="72" t="n"/>
      <c r="P486" s="72" t="n"/>
      <c r="Q486" s="72" t="n"/>
      <c r="R486" s="73" t="n"/>
      <c r="S486" s="73" t="n"/>
      <c r="T486" s="72" t="n"/>
      <c r="U486" s="72" t="n"/>
      <c r="V486" s="72" t="n"/>
      <c r="W486" s="72" t="n"/>
      <c r="X486" s="72" t="n"/>
    </row>
    <row r="487">
      <c r="A487" s="71" t="n"/>
      <c r="B487" s="71" t="n"/>
      <c r="C487" s="71" t="n"/>
      <c r="D487" s="71" t="n"/>
      <c r="E487" s="71" t="n"/>
      <c r="F487" s="46" t="n"/>
      <c r="G487" s="46" t="n"/>
      <c r="H487" s="71" t="n"/>
      <c r="I487" s="71" t="n"/>
      <c r="J487" s="71" t="n"/>
      <c r="K487" s="71" t="n"/>
      <c r="L487" s="71" t="n"/>
      <c r="M487" s="71" t="n"/>
      <c r="N487" s="71" t="n"/>
      <c r="O487" s="71" t="n"/>
      <c r="P487" s="71" t="n"/>
      <c r="Q487" s="71" t="n"/>
      <c r="R487" s="46" t="n"/>
      <c r="S487" s="46" t="n"/>
      <c r="T487" s="71" t="n"/>
      <c r="U487" s="71" t="n"/>
      <c r="V487" s="71" t="n"/>
      <c r="W487" s="71" t="n"/>
      <c r="X487" s="71" t="n"/>
    </row>
    <row r="488">
      <c r="A488" s="72" t="n"/>
      <c r="B488" s="72" t="n"/>
      <c r="C488" s="72" t="n"/>
      <c r="D488" s="72" t="n"/>
      <c r="E488" s="72" t="n"/>
      <c r="F488" s="73" t="n"/>
      <c r="G488" s="73" t="n"/>
      <c r="H488" s="72" t="n"/>
      <c r="I488" s="72" t="n"/>
      <c r="J488" s="72" t="n"/>
      <c r="K488" s="72" t="n"/>
      <c r="L488" s="72" t="n"/>
      <c r="M488" s="72" t="n"/>
      <c r="N488" s="72" t="n"/>
      <c r="O488" s="72" t="n"/>
      <c r="P488" s="72" t="n"/>
      <c r="Q488" s="72" t="n"/>
      <c r="R488" s="73" t="n"/>
      <c r="S488" s="73" t="n"/>
      <c r="T488" s="72" t="n"/>
      <c r="U488" s="72" t="n"/>
      <c r="V488" s="72" t="n"/>
      <c r="W488" s="72" t="n"/>
      <c r="X488" s="72" t="n"/>
    </row>
    <row r="489">
      <c r="A489" s="71" t="n"/>
      <c r="B489" s="71" t="n"/>
      <c r="C489" s="71" t="n"/>
      <c r="D489" s="71" t="n"/>
      <c r="E489" s="71" t="n"/>
      <c r="F489" s="46" t="n"/>
      <c r="G489" s="46" t="n"/>
      <c r="H489" s="71" t="n"/>
      <c r="I489" s="71" t="n"/>
      <c r="J489" s="71" t="n"/>
      <c r="K489" s="71" t="n"/>
      <c r="L489" s="71" t="n"/>
      <c r="M489" s="71" t="n"/>
      <c r="N489" s="71" t="n"/>
      <c r="O489" s="71" t="n"/>
      <c r="P489" s="71" t="n"/>
      <c r="Q489" s="71" t="n"/>
      <c r="R489" s="46" t="n"/>
      <c r="S489" s="46" t="n"/>
      <c r="T489" s="71" t="n"/>
      <c r="U489" s="71" t="n"/>
      <c r="V489" s="71" t="n"/>
      <c r="W489" s="71" t="n"/>
      <c r="X489" s="71" t="n"/>
    </row>
    <row r="490">
      <c r="A490" s="72" t="n"/>
      <c r="B490" s="72" t="n"/>
      <c r="C490" s="72" t="n"/>
      <c r="D490" s="72" t="n"/>
      <c r="E490" s="72" t="n"/>
      <c r="F490" s="73" t="n"/>
      <c r="G490" s="73" t="n"/>
      <c r="H490" s="72" t="n"/>
      <c r="I490" s="72" t="n"/>
      <c r="J490" s="72" t="n"/>
      <c r="K490" s="72" t="n"/>
      <c r="L490" s="72" t="n"/>
      <c r="M490" s="72" t="n"/>
      <c r="N490" s="72" t="n"/>
      <c r="O490" s="72" t="n"/>
      <c r="P490" s="72" t="n"/>
      <c r="Q490" s="72" t="n"/>
      <c r="R490" s="73" t="n"/>
      <c r="S490" s="73" t="n"/>
      <c r="T490" s="72" t="n"/>
      <c r="U490" s="72" t="n"/>
      <c r="V490" s="72" t="n"/>
      <c r="W490" s="72" t="n"/>
      <c r="X490" s="72" t="n"/>
    </row>
    <row r="491">
      <c r="A491" s="71" t="n"/>
      <c r="B491" s="71" t="n"/>
      <c r="C491" s="71" t="n"/>
      <c r="D491" s="71" t="n"/>
      <c r="E491" s="71" t="n"/>
      <c r="F491" s="46" t="n"/>
      <c r="G491" s="46" t="n"/>
      <c r="H491" s="71" t="n"/>
      <c r="I491" s="71" t="n"/>
      <c r="J491" s="71" t="n"/>
      <c r="K491" s="71" t="n"/>
      <c r="L491" s="71" t="n"/>
      <c r="M491" s="71" t="n"/>
      <c r="N491" s="71" t="n"/>
      <c r="O491" s="71" t="n"/>
      <c r="P491" s="71" t="n"/>
      <c r="Q491" s="71" t="n"/>
      <c r="R491" s="46" t="n"/>
      <c r="S491" s="46" t="n"/>
      <c r="T491" s="71" t="n"/>
      <c r="U491" s="71" t="n"/>
      <c r="V491" s="71" t="n"/>
      <c r="W491" s="71" t="n"/>
      <c r="X491" s="71" t="n"/>
    </row>
    <row r="492">
      <c r="A492" s="72" t="n"/>
      <c r="B492" s="72" t="n"/>
      <c r="C492" s="72" t="n"/>
      <c r="D492" s="72" t="n"/>
      <c r="E492" s="72" t="n"/>
      <c r="F492" s="73" t="n"/>
      <c r="G492" s="73" t="n"/>
      <c r="H492" s="72" t="n"/>
      <c r="I492" s="72" t="n"/>
      <c r="J492" s="72" t="n"/>
      <c r="K492" s="72" t="n"/>
      <c r="L492" s="72" t="n"/>
      <c r="M492" s="72" t="n"/>
      <c r="N492" s="72" t="n"/>
      <c r="O492" s="72" t="n"/>
      <c r="P492" s="72" t="n"/>
      <c r="Q492" s="72" t="n"/>
      <c r="R492" s="73" t="n"/>
      <c r="S492" s="73" t="n"/>
      <c r="T492" s="72" t="n"/>
      <c r="U492" s="72" t="n"/>
      <c r="V492" s="72" t="n"/>
      <c r="W492" s="72" t="n"/>
      <c r="X492" s="72" t="n"/>
    </row>
    <row r="493">
      <c r="A493" s="71" t="n"/>
      <c r="B493" s="71" t="n"/>
      <c r="C493" s="71" t="n"/>
      <c r="D493" s="71" t="n"/>
      <c r="E493" s="71" t="n"/>
      <c r="F493" s="46" t="n"/>
      <c r="G493" s="46" t="n"/>
      <c r="H493" s="71" t="n"/>
      <c r="I493" s="71" t="n"/>
      <c r="J493" s="71" t="n"/>
      <c r="K493" s="71" t="n"/>
      <c r="L493" s="71" t="n"/>
      <c r="M493" s="71" t="n"/>
      <c r="N493" s="71" t="n"/>
      <c r="O493" s="71" t="n"/>
      <c r="P493" s="71" t="n"/>
      <c r="Q493" s="71" t="n"/>
      <c r="R493" s="46" t="n"/>
      <c r="S493" s="46" t="n"/>
      <c r="T493" s="71" t="n"/>
      <c r="U493" s="71" t="n"/>
      <c r="V493" s="71" t="n"/>
      <c r="W493" s="71" t="n"/>
      <c r="X493" s="71" t="n"/>
    </row>
    <row r="494">
      <c r="A494" s="72" t="n"/>
      <c r="B494" s="72" t="n"/>
      <c r="C494" s="72" t="n"/>
      <c r="D494" s="72" t="n"/>
      <c r="E494" s="72" t="n"/>
      <c r="F494" s="73" t="n"/>
      <c r="G494" s="73" t="n"/>
      <c r="H494" s="72" t="n"/>
      <c r="I494" s="72" t="n"/>
      <c r="J494" s="72" t="n"/>
      <c r="K494" s="72" t="n"/>
      <c r="L494" s="72" t="n"/>
      <c r="M494" s="72" t="n"/>
      <c r="N494" s="72" t="n"/>
      <c r="O494" s="72" t="n"/>
      <c r="P494" s="72" t="n"/>
      <c r="Q494" s="72" t="n"/>
      <c r="R494" s="73" t="n"/>
      <c r="S494" s="73" t="n"/>
      <c r="T494" s="72" t="n"/>
      <c r="U494" s="72" t="n"/>
      <c r="V494" s="72" t="n"/>
      <c r="W494" s="72" t="n"/>
      <c r="X494" s="72" t="n"/>
    </row>
    <row r="495">
      <c r="A495" s="71" t="n"/>
      <c r="B495" s="71" t="n"/>
      <c r="C495" s="71" t="n"/>
      <c r="D495" s="71" t="n"/>
      <c r="E495" s="71" t="n"/>
      <c r="F495" s="46" t="n"/>
      <c r="G495" s="46" t="n"/>
      <c r="H495" s="71" t="n"/>
      <c r="I495" s="71" t="n"/>
      <c r="J495" s="71" t="n"/>
      <c r="K495" s="71" t="n"/>
      <c r="L495" s="71" t="n"/>
      <c r="M495" s="71" t="n"/>
      <c r="N495" s="71" t="n"/>
      <c r="O495" s="71" t="n"/>
      <c r="P495" s="71" t="n"/>
      <c r="Q495" s="71" t="n"/>
      <c r="R495" s="46" t="n"/>
      <c r="S495" s="46" t="n"/>
      <c r="T495" s="71" t="n"/>
      <c r="U495" s="71" t="n"/>
      <c r="V495" s="71" t="n"/>
      <c r="W495" s="71" t="n"/>
      <c r="X495" s="71" t="n"/>
    </row>
    <row r="496">
      <c r="A496" s="72" t="n"/>
      <c r="B496" s="72" t="n"/>
      <c r="C496" s="72" t="n"/>
      <c r="D496" s="72" t="n"/>
      <c r="E496" s="72" t="n"/>
      <c r="F496" s="73" t="n"/>
      <c r="G496" s="73" t="n"/>
      <c r="H496" s="72" t="n"/>
      <c r="I496" s="72" t="n"/>
      <c r="J496" s="72" t="n"/>
      <c r="K496" s="72" t="n"/>
      <c r="L496" s="72" t="n"/>
      <c r="M496" s="72" t="n"/>
      <c r="N496" s="72" t="n"/>
      <c r="O496" s="72" t="n"/>
      <c r="P496" s="72" t="n"/>
      <c r="Q496" s="72" t="n"/>
      <c r="R496" s="73" t="n"/>
      <c r="S496" s="73" t="n"/>
      <c r="T496" s="72" t="n"/>
      <c r="U496" s="72" t="n"/>
      <c r="V496" s="72" t="n"/>
      <c r="W496" s="72" t="n"/>
      <c r="X496" s="72" t="n"/>
    </row>
    <row r="497">
      <c r="A497" s="71" t="n"/>
      <c r="B497" s="71" t="n"/>
      <c r="C497" s="71" t="n"/>
      <c r="D497" s="71" t="n"/>
      <c r="E497" s="71" t="n"/>
      <c r="F497" s="46" t="n"/>
      <c r="G497" s="46" t="n"/>
      <c r="H497" s="71" t="n"/>
      <c r="I497" s="71" t="n"/>
      <c r="J497" s="71" t="n"/>
      <c r="K497" s="71" t="n"/>
      <c r="L497" s="71" t="n"/>
      <c r="M497" s="71" t="n"/>
      <c r="N497" s="71" t="n"/>
      <c r="O497" s="71" t="n"/>
      <c r="P497" s="71" t="n"/>
      <c r="Q497" s="71" t="n"/>
      <c r="R497" s="46" t="n"/>
      <c r="S497" s="46" t="n"/>
      <c r="T497" s="71" t="n"/>
      <c r="U497" s="71" t="n"/>
      <c r="V497" s="71" t="n"/>
      <c r="W497" s="71" t="n"/>
      <c r="X497" s="71" t="n"/>
    </row>
    <row r="498">
      <c r="A498" s="72" t="n"/>
      <c r="B498" s="72" t="n"/>
      <c r="C498" s="72" t="n"/>
      <c r="D498" s="72" t="n"/>
      <c r="E498" s="72" t="n"/>
      <c r="F498" s="73" t="n"/>
      <c r="G498" s="73" t="n"/>
      <c r="H498" s="72" t="n"/>
      <c r="I498" s="72" t="n"/>
      <c r="J498" s="72" t="n"/>
      <c r="K498" s="72" t="n"/>
      <c r="L498" s="72" t="n"/>
      <c r="M498" s="72" t="n"/>
      <c r="N498" s="72" t="n"/>
      <c r="O498" s="72" t="n"/>
      <c r="P498" s="72" t="n"/>
      <c r="Q498" s="72" t="n"/>
      <c r="R498" s="73" t="n"/>
      <c r="S498" s="73" t="n"/>
      <c r="T498" s="72" t="n"/>
      <c r="U498" s="72" t="n"/>
      <c r="V498" s="72" t="n"/>
      <c r="W498" s="72" t="n"/>
      <c r="X498" s="72" t="n"/>
    </row>
    <row r="499">
      <c r="A499" s="71" t="n"/>
      <c r="B499" s="71" t="n"/>
      <c r="C499" s="71" t="n"/>
      <c r="D499" s="71" t="n"/>
      <c r="E499" s="71" t="n"/>
      <c r="F499" s="46" t="n"/>
      <c r="G499" s="46" t="n"/>
      <c r="H499" s="71" t="n"/>
      <c r="I499" s="71" t="n"/>
      <c r="J499" s="71" t="n"/>
      <c r="K499" s="71" t="n"/>
      <c r="L499" s="71" t="n"/>
      <c r="M499" s="71" t="n"/>
      <c r="N499" s="71" t="n"/>
      <c r="O499" s="71" t="n"/>
      <c r="P499" s="71" t="n"/>
      <c r="Q499" s="71" t="n"/>
      <c r="R499" s="46" t="n"/>
      <c r="S499" s="46" t="n"/>
      <c r="T499" s="71" t="n"/>
      <c r="U499" s="71" t="n"/>
      <c r="V499" s="71" t="n"/>
      <c r="W499" s="71" t="n"/>
      <c r="X499" s="71" t="n"/>
    </row>
    <row r="500">
      <c r="A500" s="72" t="n"/>
      <c r="B500" s="72" t="n"/>
      <c r="C500" s="72" t="n"/>
      <c r="D500" s="72" t="n"/>
      <c r="E500" s="72" t="n"/>
      <c r="F500" s="73" t="n"/>
      <c r="G500" s="73" t="n"/>
      <c r="H500" s="72" t="n"/>
      <c r="I500" s="72" t="n"/>
      <c r="J500" s="72" t="n"/>
      <c r="K500" s="72" t="n"/>
      <c r="L500" s="72" t="n"/>
      <c r="M500" s="72" t="n"/>
      <c r="N500" s="72" t="n"/>
      <c r="O500" s="72" t="n"/>
      <c r="P500" s="72" t="n"/>
      <c r="Q500" s="72" t="n"/>
      <c r="R500" s="73" t="n"/>
      <c r="S500" s="73" t="n"/>
      <c r="T500" s="72" t="n"/>
      <c r="U500" s="72" t="n"/>
      <c r="V500" s="72" t="n"/>
      <c r="W500" s="72" t="n"/>
      <c r="X500" s="72" t="n"/>
    </row>
    <row r="501">
      <c r="A501" s="71" t="n"/>
      <c r="B501" s="71" t="n"/>
      <c r="C501" s="71" t="n"/>
      <c r="D501" s="71" t="n"/>
      <c r="E501" s="71" t="n"/>
      <c r="F501" s="46" t="n"/>
      <c r="G501" s="46" t="n"/>
      <c r="H501" s="71" t="n"/>
      <c r="I501" s="71" t="n"/>
      <c r="J501" s="71" t="n"/>
      <c r="K501" s="71" t="n"/>
      <c r="L501" s="71" t="n"/>
      <c r="M501" s="71" t="n"/>
      <c r="N501" s="71" t="n"/>
      <c r="O501" s="71" t="n"/>
      <c r="P501" s="71" t="n"/>
      <c r="Q501" s="71" t="n"/>
      <c r="R501" s="46" t="n"/>
      <c r="S501" s="46" t="n"/>
      <c r="T501" s="71" t="n"/>
      <c r="U501" s="71" t="n"/>
      <c r="V501" s="71" t="n"/>
      <c r="W501" s="71" t="n"/>
      <c r="X501" s="71" t="n"/>
    </row>
    <row r="502">
      <c r="A502" s="72" t="n"/>
      <c r="B502" s="72" t="n"/>
      <c r="C502" s="72" t="n"/>
      <c r="D502" s="72" t="n"/>
      <c r="E502" s="72" t="n"/>
      <c r="F502" s="73" t="n"/>
      <c r="G502" s="73" t="n"/>
      <c r="H502" s="72" t="n"/>
      <c r="I502" s="72" t="n"/>
      <c r="J502" s="72" t="n"/>
      <c r="K502" s="72" t="n"/>
      <c r="L502" s="72" t="n"/>
      <c r="M502" s="72" t="n"/>
      <c r="N502" s="72" t="n"/>
      <c r="O502" s="72" t="n"/>
      <c r="P502" s="72" t="n"/>
      <c r="Q502" s="72" t="n"/>
      <c r="R502" s="73" t="n"/>
      <c r="S502" s="73" t="n"/>
      <c r="T502" s="72" t="n"/>
      <c r="U502" s="72" t="n"/>
      <c r="V502" s="72" t="n"/>
      <c r="W502" s="72" t="n"/>
      <c r="X502" s="72" t="n"/>
    </row>
    <row r="503">
      <c r="A503" s="71" t="n"/>
      <c r="B503" s="71" t="n"/>
      <c r="C503" s="71" t="n"/>
      <c r="D503" s="71" t="n"/>
      <c r="E503" s="71" t="n"/>
      <c r="F503" s="46" t="n"/>
      <c r="G503" s="46" t="n"/>
      <c r="H503" s="71" t="n"/>
      <c r="I503" s="71" t="n"/>
      <c r="J503" s="71" t="n"/>
      <c r="K503" s="71" t="n"/>
      <c r="L503" s="71" t="n"/>
      <c r="M503" s="71" t="n"/>
      <c r="N503" s="71" t="n"/>
      <c r="O503" s="71" t="n"/>
      <c r="P503" s="71" t="n"/>
      <c r="Q503" s="71" t="n"/>
      <c r="R503" s="46" t="n"/>
      <c r="S503" s="46" t="n"/>
      <c r="T503" s="71" t="n"/>
      <c r="U503" s="71" t="n"/>
      <c r="V503" s="71" t="n"/>
      <c r="W503" s="71" t="n"/>
      <c r="X503" s="71" t="n"/>
    </row>
    <row r="504">
      <c r="A504" s="72" t="n"/>
      <c r="B504" s="72" t="n"/>
      <c r="C504" s="72" t="n"/>
      <c r="D504" s="72" t="n"/>
      <c r="E504" s="72" t="n"/>
      <c r="F504" s="73" t="n"/>
      <c r="G504" s="73" t="n"/>
      <c r="H504" s="72" t="n"/>
      <c r="I504" s="72" t="n"/>
      <c r="J504" s="72" t="n"/>
      <c r="K504" s="72" t="n"/>
      <c r="L504" s="72" t="n"/>
      <c r="M504" s="72" t="n"/>
      <c r="N504" s="72" t="n"/>
      <c r="O504" s="72" t="n"/>
      <c r="P504" s="72" t="n"/>
      <c r="Q504" s="72" t="n"/>
      <c r="R504" s="73" t="n"/>
      <c r="S504" s="73" t="n"/>
      <c r="T504" s="72" t="n"/>
      <c r="U504" s="72" t="n"/>
      <c r="V504" s="72" t="n"/>
      <c r="W504" s="72" t="n"/>
      <c r="X504" s="72" t="n"/>
    </row>
    <row r="505">
      <c r="A505" s="71" t="n"/>
      <c r="B505" s="71" t="n"/>
      <c r="C505" s="71" t="n"/>
      <c r="D505" s="71" t="n"/>
      <c r="E505" s="71" t="n"/>
      <c r="F505" s="46" t="n"/>
      <c r="G505" s="46" t="n"/>
      <c r="H505" s="71" t="n"/>
      <c r="I505" s="71" t="n"/>
      <c r="J505" s="71" t="n"/>
      <c r="K505" s="71" t="n"/>
      <c r="L505" s="71" t="n"/>
      <c r="M505" s="71" t="n"/>
      <c r="N505" s="71" t="n"/>
      <c r="O505" s="71" t="n"/>
      <c r="P505" s="71" t="n"/>
      <c r="Q505" s="71" t="n"/>
      <c r="R505" s="46" t="n"/>
      <c r="S505" s="46" t="n"/>
      <c r="T505" s="71" t="n"/>
      <c r="U505" s="71" t="n"/>
      <c r="V505" s="71" t="n"/>
      <c r="W505" s="71" t="n"/>
      <c r="X505" s="71" t="n"/>
    </row>
    <row r="506">
      <c r="A506" s="72" t="n"/>
      <c r="B506" s="72" t="n"/>
      <c r="C506" s="72" t="n"/>
      <c r="D506" s="72" t="n"/>
      <c r="E506" s="72" t="n"/>
      <c r="F506" s="73" t="n"/>
      <c r="G506" s="73" t="n"/>
      <c r="H506" s="72" t="n"/>
      <c r="I506" s="72" t="n"/>
      <c r="J506" s="72" t="n"/>
      <c r="K506" s="72" t="n"/>
      <c r="L506" s="72" t="n"/>
      <c r="M506" s="72" t="n"/>
      <c r="N506" s="72" t="n"/>
      <c r="O506" s="72" t="n"/>
      <c r="P506" s="72" t="n"/>
      <c r="Q506" s="72" t="n"/>
      <c r="R506" s="73" t="n"/>
      <c r="S506" s="73" t="n"/>
      <c r="T506" s="72" t="n"/>
      <c r="U506" s="72" t="n"/>
      <c r="V506" s="72" t="n"/>
      <c r="W506" s="72" t="n"/>
      <c r="X506" s="72" t="n"/>
    </row>
    <row r="507">
      <c r="A507" s="71" t="n"/>
      <c r="B507" s="71" t="n"/>
      <c r="C507" s="71" t="n"/>
      <c r="D507" s="71" t="n"/>
      <c r="E507" s="71" t="n"/>
      <c r="F507" s="46" t="n"/>
      <c r="G507" s="46" t="n"/>
      <c r="H507" s="71" t="n"/>
      <c r="I507" s="71" t="n"/>
      <c r="J507" s="71" t="n"/>
      <c r="K507" s="71" t="n"/>
      <c r="L507" s="71" t="n"/>
      <c r="M507" s="71" t="n"/>
      <c r="N507" s="71" t="n"/>
      <c r="O507" s="71" t="n"/>
      <c r="P507" s="71" t="n"/>
      <c r="Q507" s="71" t="n"/>
      <c r="R507" s="46" t="n"/>
      <c r="S507" s="46" t="n"/>
      <c r="T507" s="71" t="n"/>
      <c r="U507" s="71" t="n"/>
      <c r="V507" s="71" t="n"/>
      <c r="W507" s="71" t="n"/>
      <c r="X507" s="71" t="n"/>
    </row>
    <row r="508">
      <c r="A508" s="72" t="n"/>
      <c r="B508" s="72" t="n"/>
      <c r="C508" s="72" t="n"/>
      <c r="D508" s="72" t="n"/>
      <c r="E508" s="72" t="n"/>
      <c r="F508" s="73" t="n"/>
      <c r="G508" s="73" t="n"/>
      <c r="H508" s="72" t="n"/>
      <c r="I508" s="72" t="n"/>
      <c r="J508" s="72" t="n"/>
      <c r="K508" s="72" t="n"/>
      <c r="L508" s="72" t="n"/>
      <c r="M508" s="72" t="n"/>
      <c r="N508" s="72" t="n"/>
      <c r="O508" s="72" t="n"/>
      <c r="P508" s="72" t="n"/>
      <c r="Q508" s="72" t="n"/>
      <c r="R508" s="73" t="n"/>
      <c r="S508" s="73" t="n"/>
      <c r="T508" s="72" t="n"/>
      <c r="U508" s="72" t="n"/>
      <c r="V508" s="72" t="n"/>
      <c r="W508" s="72" t="n"/>
      <c r="X508" s="72" t="n"/>
    </row>
    <row r="509">
      <c r="A509" s="71" t="n"/>
      <c r="B509" s="71" t="n"/>
      <c r="C509" s="71" t="n"/>
      <c r="D509" s="71" t="n"/>
      <c r="E509" s="71" t="n"/>
      <c r="F509" s="46" t="n"/>
      <c r="G509" s="46" t="n"/>
      <c r="H509" s="71" t="n"/>
      <c r="I509" s="71" t="n"/>
      <c r="J509" s="71" t="n"/>
      <c r="K509" s="71" t="n"/>
      <c r="L509" s="71" t="n"/>
      <c r="M509" s="71" t="n"/>
      <c r="N509" s="71" t="n"/>
      <c r="O509" s="71" t="n"/>
      <c r="P509" s="71" t="n"/>
      <c r="Q509" s="71" t="n"/>
      <c r="R509" s="46" t="n"/>
      <c r="S509" s="46" t="n"/>
      <c r="T509" s="71" t="n"/>
      <c r="U509" s="71" t="n"/>
      <c r="V509" s="71" t="n"/>
      <c r="W509" s="71" t="n"/>
      <c r="X509" s="71" t="n"/>
    </row>
    <row r="510">
      <c r="A510" s="72" t="n"/>
      <c r="B510" s="72" t="n"/>
      <c r="C510" s="72" t="n"/>
      <c r="D510" s="72" t="n"/>
      <c r="E510" s="72" t="n"/>
      <c r="F510" s="73" t="n"/>
      <c r="G510" s="73" t="n"/>
      <c r="H510" s="72" t="n"/>
      <c r="I510" s="72" t="n"/>
      <c r="J510" s="72" t="n"/>
      <c r="K510" s="72" t="n"/>
      <c r="L510" s="72" t="n"/>
      <c r="M510" s="72" t="n"/>
      <c r="N510" s="72" t="n"/>
      <c r="O510" s="72" t="n"/>
      <c r="P510" s="72" t="n"/>
      <c r="Q510" s="72" t="n"/>
      <c r="R510" s="73" t="n"/>
      <c r="S510" s="73" t="n"/>
      <c r="T510" s="72" t="n"/>
      <c r="U510" s="72" t="n"/>
      <c r="V510" s="72" t="n"/>
      <c r="W510" s="72" t="n"/>
      <c r="X510" s="72" t="n"/>
    </row>
    <row r="511">
      <c r="A511" s="71" t="n"/>
      <c r="B511" s="71" t="n"/>
      <c r="C511" s="71" t="n"/>
      <c r="D511" s="71" t="n"/>
      <c r="E511" s="71" t="n"/>
      <c r="F511" s="46" t="n"/>
      <c r="G511" s="46" t="n"/>
      <c r="H511" s="71" t="n"/>
      <c r="I511" s="71" t="n"/>
      <c r="J511" s="71" t="n"/>
      <c r="K511" s="71" t="n"/>
      <c r="L511" s="71" t="n"/>
      <c r="M511" s="71" t="n"/>
      <c r="N511" s="71" t="n"/>
      <c r="O511" s="71" t="n"/>
      <c r="P511" s="71" t="n"/>
      <c r="Q511" s="71" t="n"/>
      <c r="R511" s="46" t="n"/>
      <c r="S511" s="46" t="n"/>
      <c r="T511" s="71" t="n"/>
      <c r="U511" s="71" t="n"/>
      <c r="V511" s="71" t="n"/>
      <c r="W511" s="71" t="n"/>
      <c r="X511" s="71" t="n"/>
    </row>
    <row r="512">
      <c r="A512" s="72" t="n"/>
      <c r="B512" s="72" t="n"/>
      <c r="C512" s="72" t="n"/>
      <c r="D512" s="72" t="n"/>
      <c r="E512" s="72" t="n"/>
      <c r="F512" s="73" t="n"/>
      <c r="G512" s="73" t="n"/>
      <c r="H512" s="72" t="n"/>
      <c r="I512" s="72" t="n"/>
      <c r="J512" s="72" t="n"/>
      <c r="K512" s="72" t="n"/>
      <c r="L512" s="72" t="n"/>
      <c r="M512" s="72" t="n"/>
      <c r="N512" s="72" t="n"/>
      <c r="O512" s="72" t="n"/>
      <c r="P512" s="72" t="n"/>
      <c r="Q512" s="72" t="n"/>
      <c r="R512" s="73" t="n"/>
      <c r="S512" s="73" t="n"/>
      <c r="T512" s="72" t="n"/>
      <c r="U512" s="72" t="n"/>
      <c r="V512" s="72" t="n"/>
      <c r="W512" s="72" t="n"/>
      <c r="X512" s="72" t="n"/>
    </row>
    <row r="513">
      <c r="A513" s="71" t="n"/>
      <c r="B513" s="71" t="n"/>
      <c r="C513" s="71" t="n"/>
      <c r="D513" s="71" t="n"/>
      <c r="E513" s="71" t="n"/>
      <c r="F513" s="46" t="n"/>
      <c r="G513" s="46" t="n"/>
      <c r="H513" s="71" t="n"/>
      <c r="I513" s="71" t="n"/>
      <c r="J513" s="71" t="n"/>
      <c r="K513" s="71" t="n"/>
      <c r="L513" s="71" t="n"/>
      <c r="M513" s="71" t="n"/>
      <c r="N513" s="71" t="n"/>
      <c r="O513" s="71" t="n"/>
      <c r="P513" s="71" t="n"/>
      <c r="Q513" s="71" t="n"/>
      <c r="R513" s="46" t="n"/>
      <c r="S513" s="46" t="n"/>
      <c r="T513" s="71" t="n"/>
      <c r="U513" s="71" t="n"/>
      <c r="V513" s="71" t="n"/>
      <c r="W513" s="71" t="n"/>
      <c r="X513" s="71" t="n"/>
    </row>
    <row r="514">
      <c r="A514" s="72" t="n"/>
      <c r="B514" s="72" t="n"/>
      <c r="C514" s="72" t="n"/>
      <c r="D514" s="72" t="n"/>
      <c r="E514" s="72" t="n"/>
      <c r="F514" s="73" t="n"/>
      <c r="G514" s="73" t="n"/>
      <c r="H514" s="72" t="n"/>
      <c r="I514" s="72" t="n"/>
      <c r="J514" s="72" t="n"/>
      <c r="K514" s="72" t="n"/>
      <c r="L514" s="72" t="n"/>
      <c r="M514" s="72" t="n"/>
      <c r="N514" s="72" t="n"/>
      <c r="O514" s="72" t="n"/>
      <c r="P514" s="72" t="n"/>
      <c r="Q514" s="72" t="n"/>
      <c r="R514" s="73" t="n"/>
      <c r="S514" s="73" t="n"/>
      <c r="T514" s="72" t="n"/>
      <c r="U514" s="72" t="n"/>
      <c r="V514" s="72" t="n"/>
      <c r="W514" s="72" t="n"/>
      <c r="X514" s="72" t="n"/>
    </row>
    <row r="515">
      <c r="A515" s="71" t="n"/>
      <c r="B515" s="71" t="n"/>
      <c r="C515" s="71" t="n"/>
      <c r="D515" s="71" t="n"/>
      <c r="E515" s="71" t="n"/>
      <c r="F515" s="46" t="n"/>
      <c r="G515" s="46" t="n"/>
      <c r="H515" s="71" t="n"/>
      <c r="I515" s="71" t="n"/>
      <c r="J515" s="71" t="n"/>
      <c r="K515" s="71" t="n"/>
      <c r="L515" s="71" t="n"/>
      <c r="M515" s="71" t="n"/>
      <c r="N515" s="71" t="n"/>
      <c r="O515" s="71" t="n"/>
      <c r="P515" s="71" t="n"/>
      <c r="Q515" s="71" t="n"/>
      <c r="R515" s="46" t="n"/>
      <c r="S515" s="46" t="n"/>
      <c r="T515" s="71" t="n"/>
      <c r="U515" s="71" t="n"/>
      <c r="V515" s="71" t="n"/>
      <c r="W515" s="71" t="n"/>
      <c r="X515" s="71" t="n"/>
    </row>
    <row r="516">
      <c r="A516" s="72" t="n"/>
      <c r="B516" s="72" t="n"/>
      <c r="C516" s="72" t="n"/>
      <c r="D516" s="72" t="n"/>
      <c r="E516" s="72" t="n"/>
      <c r="F516" s="73" t="n"/>
      <c r="G516" s="73" t="n"/>
      <c r="H516" s="72" t="n"/>
      <c r="I516" s="72" t="n"/>
      <c r="J516" s="72" t="n"/>
      <c r="K516" s="72" t="n"/>
      <c r="L516" s="72" t="n"/>
      <c r="M516" s="72" t="n"/>
      <c r="N516" s="72" t="n"/>
      <c r="O516" s="72" t="n"/>
      <c r="P516" s="72" t="n"/>
      <c r="Q516" s="72" t="n"/>
      <c r="R516" s="73" t="n"/>
      <c r="S516" s="73" t="n"/>
      <c r="T516" s="72" t="n"/>
      <c r="U516" s="72" t="n"/>
      <c r="V516" s="72" t="n"/>
      <c r="W516" s="72" t="n"/>
      <c r="X516" s="72" t="n"/>
    </row>
    <row r="517">
      <c r="A517" s="71" t="n"/>
      <c r="B517" s="71" t="n"/>
      <c r="C517" s="71" t="n"/>
      <c r="D517" s="71" t="n"/>
      <c r="E517" s="71" t="n"/>
      <c r="F517" s="46" t="n"/>
      <c r="G517" s="46" t="n"/>
      <c r="H517" s="71" t="n"/>
      <c r="I517" s="71" t="n"/>
      <c r="J517" s="71" t="n"/>
      <c r="K517" s="71" t="n"/>
      <c r="L517" s="71" t="n"/>
      <c r="M517" s="71" t="n"/>
      <c r="N517" s="71" t="n"/>
      <c r="O517" s="71" t="n"/>
      <c r="P517" s="71" t="n"/>
      <c r="Q517" s="71" t="n"/>
      <c r="R517" s="46" t="n"/>
      <c r="S517" s="46" t="n"/>
      <c r="T517" s="71" t="n"/>
      <c r="U517" s="71" t="n"/>
      <c r="V517" s="71" t="n"/>
      <c r="W517" s="71" t="n"/>
      <c r="X517" s="71" t="n"/>
    </row>
    <row r="518">
      <c r="A518" s="72" t="n"/>
      <c r="B518" s="72" t="n"/>
      <c r="C518" s="72" t="n"/>
      <c r="D518" s="72" t="n"/>
      <c r="E518" s="72" t="n"/>
      <c r="F518" s="73" t="n"/>
      <c r="G518" s="73" t="n"/>
      <c r="H518" s="72" t="n"/>
      <c r="I518" s="72" t="n"/>
      <c r="J518" s="72" t="n"/>
      <c r="K518" s="72" t="n"/>
      <c r="L518" s="72" t="n"/>
      <c r="M518" s="72" t="n"/>
      <c r="N518" s="72" t="n"/>
      <c r="O518" s="72" t="n"/>
      <c r="P518" s="72" t="n"/>
      <c r="Q518" s="72" t="n"/>
      <c r="R518" s="73" t="n"/>
      <c r="S518" s="73" t="n"/>
      <c r="T518" s="72" t="n"/>
      <c r="U518" s="72" t="n"/>
      <c r="V518" s="72" t="n"/>
      <c r="W518" s="72" t="n"/>
      <c r="X518" s="72" t="n"/>
    </row>
    <row r="519">
      <c r="A519" s="71" t="n"/>
      <c r="B519" s="71" t="n"/>
      <c r="C519" s="71" t="n"/>
      <c r="D519" s="71" t="n"/>
      <c r="E519" s="71" t="n"/>
      <c r="F519" s="46" t="n"/>
      <c r="G519" s="46" t="n"/>
      <c r="H519" s="71" t="n"/>
      <c r="I519" s="71" t="n"/>
      <c r="J519" s="71" t="n"/>
      <c r="K519" s="71" t="n"/>
      <c r="L519" s="71" t="n"/>
      <c r="M519" s="71" t="n"/>
      <c r="N519" s="71" t="n"/>
      <c r="O519" s="71" t="n"/>
      <c r="P519" s="71" t="n"/>
      <c r="Q519" s="71" t="n"/>
      <c r="R519" s="46" t="n"/>
      <c r="S519" s="46" t="n"/>
      <c r="T519" s="71" t="n"/>
      <c r="U519" s="71" t="n"/>
      <c r="V519" s="71" t="n"/>
      <c r="W519" s="71" t="n"/>
      <c r="X519" s="71" t="n"/>
    </row>
    <row r="520">
      <c r="A520" s="72" t="n"/>
      <c r="B520" s="72" t="n"/>
      <c r="C520" s="72" t="n"/>
      <c r="D520" s="72" t="n"/>
      <c r="E520" s="72" t="n"/>
      <c r="F520" s="73" t="n"/>
      <c r="G520" s="73" t="n"/>
      <c r="H520" s="72" t="n"/>
      <c r="I520" s="72" t="n"/>
      <c r="J520" s="72" t="n"/>
      <c r="K520" s="72" t="n"/>
      <c r="L520" s="72" t="n"/>
      <c r="M520" s="72" t="n"/>
      <c r="N520" s="72" t="n"/>
      <c r="O520" s="72" t="n"/>
      <c r="P520" s="72" t="n"/>
      <c r="Q520" s="72" t="n"/>
      <c r="R520" s="73" t="n"/>
      <c r="S520" s="73" t="n"/>
      <c r="T520" s="72" t="n"/>
      <c r="U520" s="72" t="n"/>
      <c r="V520" s="72" t="n"/>
      <c r="W520" s="72" t="n"/>
      <c r="X520" s="72" t="n"/>
    </row>
    <row r="521">
      <c r="A521" s="71" t="n"/>
      <c r="B521" s="71" t="n"/>
      <c r="C521" s="71" t="n"/>
      <c r="D521" s="71" t="n"/>
      <c r="E521" s="71" t="n"/>
      <c r="F521" s="46" t="n"/>
      <c r="G521" s="46" t="n"/>
      <c r="H521" s="71" t="n"/>
      <c r="I521" s="71" t="n"/>
      <c r="J521" s="71" t="n"/>
      <c r="K521" s="71" t="n"/>
      <c r="L521" s="71" t="n"/>
      <c r="M521" s="71" t="n"/>
      <c r="N521" s="71" t="n"/>
      <c r="O521" s="71" t="n"/>
      <c r="P521" s="71" t="n"/>
      <c r="Q521" s="71" t="n"/>
      <c r="R521" s="46" t="n"/>
      <c r="S521" s="46" t="n"/>
      <c r="T521" s="71" t="n"/>
      <c r="U521" s="71" t="n"/>
      <c r="V521" s="71" t="n"/>
      <c r="W521" s="71" t="n"/>
      <c r="X521" s="71" t="n"/>
    </row>
    <row r="522">
      <c r="A522" s="72" t="n"/>
      <c r="B522" s="72" t="n"/>
      <c r="C522" s="72" t="n"/>
      <c r="D522" s="72" t="n"/>
      <c r="E522" s="72" t="n"/>
      <c r="F522" s="73" t="n"/>
      <c r="G522" s="73" t="n"/>
      <c r="H522" s="72" t="n"/>
      <c r="I522" s="72" t="n"/>
      <c r="J522" s="72" t="n"/>
      <c r="K522" s="72" t="n"/>
      <c r="L522" s="72" t="n"/>
      <c r="M522" s="72" t="n"/>
      <c r="N522" s="72" t="n"/>
      <c r="O522" s="72" t="n"/>
      <c r="P522" s="72" t="n"/>
      <c r="Q522" s="72" t="n"/>
      <c r="R522" s="73" t="n"/>
      <c r="S522" s="73" t="n"/>
      <c r="T522" s="72" t="n"/>
      <c r="U522" s="72" t="n"/>
      <c r="V522" s="72" t="n"/>
      <c r="W522" s="72" t="n"/>
      <c r="X522" s="72" t="n"/>
    </row>
    <row r="523">
      <c r="A523" s="71" t="n"/>
      <c r="B523" s="71" t="n"/>
      <c r="C523" s="71" t="n"/>
      <c r="D523" s="71" t="n"/>
      <c r="E523" s="71" t="n"/>
      <c r="F523" s="46" t="n"/>
      <c r="G523" s="46" t="n"/>
      <c r="H523" s="71" t="n"/>
      <c r="I523" s="71" t="n"/>
      <c r="J523" s="71" t="n"/>
      <c r="K523" s="71" t="n"/>
      <c r="L523" s="71" t="n"/>
      <c r="M523" s="71" t="n"/>
      <c r="N523" s="71" t="n"/>
      <c r="O523" s="71" t="n"/>
      <c r="P523" s="71" t="n"/>
      <c r="Q523" s="71" t="n"/>
      <c r="R523" s="46" t="n"/>
      <c r="S523" s="46" t="n"/>
      <c r="T523" s="71" t="n"/>
      <c r="U523" s="71" t="n"/>
      <c r="V523" s="71" t="n"/>
      <c r="W523" s="71" t="n"/>
      <c r="X523" s="71" t="n"/>
    </row>
    <row r="524">
      <c r="A524" s="72" t="n"/>
      <c r="B524" s="72" t="n"/>
      <c r="C524" s="72" t="n"/>
      <c r="D524" s="72" t="n"/>
      <c r="E524" s="72" t="n"/>
      <c r="F524" s="73" t="n"/>
      <c r="G524" s="73" t="n"/>
      <c r="H524" s="72" t="n"/>
      <c r="I524" s="72" t="n"/>
      <c r="J524" s="72" t="n"/>
      <c r="K524" s="72" t="n"/>
      <c r="L524" s="72" t="n"/>
      <c r="M524" s="72" t="n"/>
      <c r="N524" s="72" t="n"/>
      <c r="O524" s="72" t="n"/>
      <c r="P524" s="72" t="n"/>
      <c r="Q524" s="72" t="n"/>
      <c r="R524" s="73" t="n"/>
      <c r="S524" s="73" t="n"/>
      <c r="T524" s="72" t="n"/>
      <c r="U524" s="72" t="n"/>
      <c r="V524" s="72" t="n"/>
      <c r="W524" s="72" t="n"/>
      <c r="X524" s="72" t="n"/>
    </row>
    <row r="525">
      <c r="A525" s="71" t="n"/>
      <c r="B525" s="71" t="n"/>
      <c r="C525" s="71" t="n"/>
      <c r="D525" s="71" t="n"/>
      <c r="E525" s="71" t="n"/>
      <c r="F525" s="46" t="n"/>
      <c r="G525" s="46" t="n"/>
      <c r="H525" s="71" t="n"/>
      <c r="I525" s="71" t="n"/>
      <c r="J525" s="71" t="n"/>
      <c r="K525" s="71" t="n"/>
      <c r="L525" s="71" t="n"/>
      <c r="M525" s="71" t="n"/>
      <c r="N525" s="71" t="n"/>
      <c r="O525" s="71" t="n"/>
      <c r="P525" s="71" t="n"/>
      <c r="Q525" s="71" t="n"/>
      <c r="R525" s="46" t="n"/>
      <c r="S525" s="46" t="n"/>
      <c r="T525" s="71" t="n"/>
      <c r="U525" s="71" t="n"/>
      <c r="V525" s="71" t="n"/>
      <c r="W525" s="71" t="n"/>
      <c r="X525" s="71" t="n"/>
    </row>
    <row r="526">
      <c r="A526" s="72" t="n"/>
      <c r="B526" s="72" t="n"/>
      <c r="C526" s="72" t="n"/>
      <c r="D526" s="72" t="n"/>
      <c r="E526" s="72" t="n"/>
      <c r="F526" s="73" t="n"/>
      <c r="G526" s="73" t="n"/>
      <c r="H526" s="72" t="n"/>
      <c r="I526" s="72" t="n"/>
      <c r="J526" s="72" t="n"/>
      <c r="K526" s="72" t="n"/>
      <c r="L526" s="72" t="n"/>
      <c r="M526" s="72" t="n"/>
      <c r="N526" s="72" t="n"/>
      <c r="O526" s="72" t="n"/>
      <c r="P526" s="72" t="n"/>
      <c r="Q526" s="72" t="n"/>
      <c r="R526" s="73" t="n"/>
      <c r="S526" s="73" t="n"/>
      <c r="T526" s="72" t="n"/>
      <c r="U526" s="72" t="n"/>
      <c r="V526" s="72" t="n"/>
      <c r="W526" s="72" t="n"/>
      <c r="X526" s="72" t="n"/>
    </row>
    <row r="527">
      <c r="A527" s="71" t="n"/>
      <c r="B527" s="71" t="n"/>
      <c r="C527" s="71" t="n"/>
      <c r="D527" s="71" t="n"/>
      <c r="E527" s="71" t="n"/>
      <c r="F527" s="46" t="n"/>
      <c r="G527" s="46" t="n"/>
      <c r="H527" s="71" t="n"/>
      <c r="I527" s="71" t="n"/>
      <c r="J527" s="71" t="n"/>
      <c r="K527" s="71" t="n"/>
      <c r="L527" s="71" t="n"/>
      <c r="M527" s="71" t="n"/>
      <c r="N527" s="71" t="n"/>
      <c r="O527" s="71" t="n"/>
      <c r="P527" s="71" t="n"/>
      <c r="Q527" s="71" t="n"/>
      <c r="R527" s="46" t="n"/>
      <c r="S527" s="46" t="n"/>
      <c r="T527" s="71" t="n"/>
      <c r="U527" s="71" t="n"/>
      <c r="V527" s="71" t="n"/>
      <c r="W527" s="71" t="n"/>
      <c r="X527" s="71" t="n"/>
    </row>
    <row r="528">
      <c r="A528" s="72" t="n"/>
      <c r="B528" s="72" t="n"/>
      <c r="C528" s="72" t="n"/>
      <c r="D528" s="72" t="n"/>
      <c r="E528" s="72" t="n"/>
      <c r="F528" s="73" t="n"/>
      <c r="G528" s="73" t="n"/>
      <c r="H528" s="72" t="n"/>
      <c r="I528" s="72" t="n"/>
      <c r="J528" s="72" t="n"/>
      <c r="K528" s="72" t="n"/>
      <c r="L528" s="72" t="n"/>
      <c r="M528" s="72" t="n"/>
      <c r="N528" s="72" t="n"/>
      <c r="O528" s="72" t="n"/>
      <c r="P528" s="72" t="n"/>
      <c r="Q528" s="72" t="n"/>
      <c r="R528" s="73" t="n"/>
      <c r="S528" s="73" t="n"/>
      <c r="T528" s="72" t="n"/>
      <c r="U528" s="72" t="n"/>
      <c r="V528" s="72" t="n"/>
      <c r="W528" s="72" t="n"/>
      <c r="X528" s="72" t="n"/>
    </row>
    <row r="529">
      <c r="A529" s="71" t="n"/>
      <c r="B529" s="71" t="n"/>
      <c r="C529" s="71" t="n"/>
      <c r="D529" s="71" t="n"/>
      <c r="E529" s="71" t="n"/>
      <c r="F529" s="46" t="n"/>
      <c r="G529" s="46" t="n"/>
      <c r="H529" s="71" t="n"/>
      <c r="I529" s="71" t="n"/>
      <c r="J529" s="71" t="n"/>
      <c r="K529" s="71" t="n"/>
      <c r="L529" s="71" t="n"/>
      <c r="M529" s="71" t="n"/>
      <c r="N529" s="71" t="n"/>
      <c r="O529" s="71" t="n"/>
      <c r="P529" s="71" t="n"/>
      <c r="Q529" s="71" t="n"/>
      <c r="R529" s="46" t="n"/>
      <c r="S529" s="46" t="n"/>
      <c r="T529" s="71" t="n"/>
      <c r="U529" s="71" t="n"/>
      <c r="V529" s="71" t="n"/>
      <c r="W529" s="71" t="n"/>
      <c r="X529" s="71" t="n"/>
    </row>
    <row r="530">
      <c r="A530" s="72" t="n"/>
      <c r="B530" s="72" t="n"/>
      <c r="C530" s="72" t="n"/>
      <c r="D530" s="72" t="n"/>
      <c r="E530" s="72" t="n"/>
      <c r="F530" s="73" t="n"/>
      <c r="G530" s="73" t="n"/>
      <c r="H530" s="72" t="n"/>
      <c r="I530" s="72" t="n"/>
      <c r="J530" s="72" t="n"/>
      <c r="K530" s="72" t="n"/>
      <c r="L530" s="72" t="n"/>
      <c r="M530" s="72" t="n"/>
      <c r="N530" s="72" t="n"/>
      <c r="O530" s="72" t="n"/>
      <c r="P530" s="72" t="n"/>
      <c r="Q530" s="72" t="n"/>
      <c r="R530" s="73" t="n"/>
      <c r="S530" s="73" t="n"/>
      <c r="T530" s="72" t="n"/>
      <c r="U530" s="72" t="n"/>
      <c r="V530" s="72" t="n"/>
      <c r="W530" s="72" t="n"/>
      <c r="X530" s="72" t="n"/>
    </row>
    <row r="531">
      <c r="A531" s="71" t="n"/>
      <c r="B531" s="71" t="n"/>
      <c r="C531" s="71" t="n"/>
      <c r="D531" s="71" t="n"/>
      <c r="E531" s="71" t="n"/>
      <c r="F531" s="46" t="n"/>
      <c r="G531" s="46" t="n"/>
      <c r="H531" s="71" t="n"/>
      <c r="I531" s="71" t="n"/>
      <c r="J531" s="71" t="n"/>
      <c r="K531" s="71" t="n"/>
      <c r="L531" s="71" t="n"/>
      <c r="M531" s="71" t="n"/>
      <c r="N531" s="71" t="n"/>
      <c r="O531" s="71" t="n"/>
      <c r="P531" s="71" t="n"/>
      <c r="Q531" s="71" t="n"/>
      <c r="R531" s="46" t="n"/>
      <c r="S531" s="46" t="n"/>
      <c r="T531" s="71" t="n"/>
      <c r="U531" s="71" t="n"/>
      <c r="V531" s="71" t="n"/>
      <c r="W531" s="71" t="n"/>
      <c r="X531" s="71" t="n"/>
    </row>
    <row r="532">
      <c r="A532" s="72" t="n"/>
      <c r="B532" s="72" t="n"/>
      <c r="C532" s="72" t="n"/>
      <c r="D532" s="72" t="n"/>
      <c r="E532" s="72" t="n"/>
      <c r="F532" s="73" t="n"/>
      <c r="G532" s="73" t="n"/>
      <c r="H532" s="72" t="n"/>
      <c r="I532" s="72" t="n"/>
      <c r="J532" s="72" t="n"/>
      <c r="K532" s="72" t="n"/>
      <c r="L532" s="72" t="n"/>
      <c r="M532" s="72" t="n"/>
      <c r="N532" s="72" t="n"/>
      <c r="O532" s="72" t="n"/>
      <c r="P532" s="72" t="n"/>
      <c r="Q532" s="72" t="n"/>
      <c r="R532" s="73" t="n"/>
      <c r="S532" s="73" t="n"/>
      <c r="T532" s="72" t="n"/>
      <c r="U532" s="72" t="n"/>
      <c r="V532" s="72" t="n"/>
      <c r="W532" s="72" t="n"/>
      <c r="X532" s="72" t="n"/>
    </row>
    <row r="533">
      <c r="A533" s="71" t="n"/>
      <c r="B533" s="71" t="n"/>
      <c r="C533" s="71" t="n"/>
      <c r="D533" s="71" t="n"/>
      <c r="E533" s="71" t="n"/>
      <c r="F533" s="46" t="n"/>
      <c r="G533" s="46" t="n"/>
      <c r="H533" s="71" t="n"/>
      <c r="I533" s="71" t="n"/>
      <c r="J533" s="71" t="n"/>
      <c r="K533" s="71" t="n"/>
      <c r="L533" s="71" t="n"/>
      <c r="M533" s="71" t="n"/>
      <c r="N533" s="71" t="n"/>
      <c r="O533" s="71" t="n"/>
      <c r="P533" s="71" t="n"/>
      <c r="Q533" s="71" t="n"/>
      <c r="R533" s="46" t="n"/>
      <c r="S533" s="46" t="n"/>
      <c r="T533" s="71" t="n"/>
      <c r="U533" s="71" t="n"/>
      <c r="V533" s="71" t="n"/>
      <c r="W533" s="71" t="n"/>
      <c r="X533" s="71" t="n"/>
    </row>
    <row r="534">
      <c r="A534" s="72" t="n"/>
      <c r="B534" s="72" t="n"/>
      <c r="C534" s="72" t="n"/>
      <c r="D534" s="72" t="n"/>
      <c r="E534" s="72" t="n"/>
      <c r="F534" s="73" t="n"/>
      <c r="G534" s="73" t="n"/>
      <c r="H534" s="72" t="n"/>
      <c r="I534" s="72" t="n"/>
      <c r="J534" s="72" t="n"/>
      <c r="K534" s="72" t="n"/>
      <c r="L534" s="72" t="n"/>
      <c r="M534" s="72" t="n"/>
      <c r="N534" s="72" t="n"/>
      <c r="O534" s="72" t="n"/>
      <c r="P534" s="72" t="n"/>
      <c r="Q534" s="72" t="n"/>
      <c r="R534" s="73" t="n"/>
      <c r="S534" s="73" t="n"/>
      <c r="T534" s="72" t="n"/>
      <c r="U534" s="72" t="n"/>
      <c r="V534" s="72" t="n"/>
      <c r="W534" s="72" t="n"/>
      <c r="X534" s="72" t="n"/>
    </row>
    <row r="535">
      <c r="A535" s="71" t="n"/>
      <c r="B535" s="71" t="n"/>
      <c r="C535" s="71" t="n"/>
      <c r="D535" s="71" t="n"/>
      <c r="E535" s="71" t="n"/>
      <c r="F535" s="46" t="n"/>
      <c r="G535" s="46" t="n"/>
      <c r="H535" s="71" t="n"/>
      <c r="I535" s="71" t="n"/>
      <c r="J535" s="71" t="n"/>
      <c r="K535" s="71" t="n"/>
      <c r="L535" s="71" t="n"/>
      <c r="M535" s="71" t="n"/>
      <c r="N535" s="71" t="n"/>
      <c r="O535" s="71" t="n"/>
      <c r="P535" s="71" t="n"/>
      <c r="Q535" s="71" t="n"/>
      <c r="R535" s="46" t="n"/>
      <c r="S535" s="46" t="n"/>
      <c r="T535" s="71" t="n"/>
      <c r="U535" s="71" t="n"/>
      <c r="V535" s="71" t="n"/>
      <c r="W535" s="71" t="n"/>
      <c r="X535" s="71" t="n"/>
    </row>
    <row r="536">
      <c r="A536" s="72" t="n"/>
      <c r="B536" s="72" t="n"/>
      <c r="C536" s="72" t="n"/>
      <c r="D536" s="72" t="n"/>
      <c r="E536" s="72" t="n"/>
      <c r="F536" s="73" t="n"/>
      <c r="G536" s="73" t="n"/>
      <c r="H536" s="72" t="n"/>
      <c r="I536" s="72" t="n"/>
      <c r="J536" s="72" t="n"/>
      <c r="K536" s="72" t="n"/>
      <c r="L536" s="72" t="n"/>
      <c r="M536" s="72" t="n"/>
      <c r="N536" s="72" t="n"/>
      <c r="O536" s="72" t="n"/>
      <c r="P536" s="72" t="n"/>
      <c r="Q536" s="72" t="n"/>
      <c r="R536" s="73" t="n"/>
      <c r="S536" s="73" t="n"/>
      <c r="T536" s="72" t="n"/>
      <c r="U536" s="72" t="n"/>
      <c r="V536" s="72" t="n"/>
      <c r="W536" s="72" t="n"/>
      <c r="X536" s="72" t="n"/>
    </row>
    <row r="537">
      <c r="A537" s="71" t="n"/>
      <c r="B537" s="71" t="n"/>
      <c r="C537" s="71" t="n"/>
      <c r="D537" s="71" t="n"/>
      <c r="E537" s="71" t="n"/>
      <c r="F537" s="46" t="n"/>
      <c r="G537" s="46" t="n"/>
      <c r="H537" s="71" t="n"/>
      <c r="I537" s="71" t="n"/>
      <c r="J537" s="71" t="n"/>
      <c r="K537" s="71" t="n"/>
      <c r="L537" s="71" t="n"/>
      <c r="M537" s="71" t="n"/>
      <c r="N537" s="71" t="n"/>
      <c r="O537" s="71" t="n"/>
      <c r="P537" s="71" t="n"/>
      <c r="Q537" s="71" t="n"/>
      <c r="R537" s="46" t="n"/>
      <c r="S537" s="46" t="n"/>
      <c r="T537" s="71" t="n"/>
      <c r="U537" s="71" t="n"/>
      <c r="V537" s="71" t="n"/>
      <c r="W537" s="71" t="n"/>
      <c r="X537" s="71" t="n"/>
    </row>
    <row r="538">
      <c r="A538" s="72" t="n"/>
      <c r="B538" s="72" t="n"/>
      <c r="C538" s="72" t="n"/>
      <c r="D538" s="72" t="n"/>
      <c r="E538" s="72" t="n"/>
      <c r="F538" s="73" t="n"/>
      <c r="G538" s="73" t="n"/>
      <c r="H538" s="72" t="n"/>
      <c r="I538" s="72" t="n"/>
      <c r="J538" s="72" t="n"/>
      <c r="K538" s="72" t="n"/>
      <c r="L538" s="72" t="n"/>
      <c r="M538" s="72" t="n"/>
      <c r="N538" s="72" t="n"/>
      <c r="O538" s="72" t="n"/>
      <c r="P538" s="72" t="n"/>
      <c r="Q538" s="72" t="n"/>
      <c r="R538" s="73" t="n"/>
      <c r="S538" s="73" t="n"/>
      <c r="T538" s="72" t="n"/>
      <c r="U538" s="72" t="n"/>
      <c r="V538" s="72" t="n"/>
      <c r="W538" s="72" t="n"/>
      <c r="X538" s="72" t="n"/>
    </row>
    <row r="539">
      <c r="A539" s="71" t="n"/>
      <c r="B539" s="71" t="n"/>
      <c r="C539" s="71" t="n"/>
      <c r="D539" s="71" t="n"/>
      <c r="E539" s="71" t="n"/>
      <c r="F539" s="46" t="n"/>
      <c r="G539" s="46" t="n"/>
      <c r="H539" s="71" t="n"/>
      <c r="I539" s="71" t="n"/>
      <c r="J539" s="71" t="n"/>
      <c r="K539" s="71" t="n"/>
      <c r="L539" s="71" t="n"/>
      <c r="M539" s="71" t="n"/>
      <c r="N539" s="71" t="n"/>
      <c r="O539" s="71" t="n"/>
      <c r="P539" s="71" t="n"/>
      <c r="Q539" s="71" t="n"/>
      <c r="R539" s="46" t="n"/>
      <c r="S539" s="46" t="n"/>
      <c r="T539" s="71" t="n"/>
      <c r="U539" s="71" t="n"/>
      <c r="V539" s="71" t="n"/>
      <c r="W539" s="71" t="n"/>
      <c r="X539" s="71" t="n"/>
    </row>
    <row r="540">
      <c r="A540" s="72" t="n"/>
      <c r="B540" s="72" t="n"/>
      <c r="C540" s="72" t="n"/>
      <c r="D540" s="72" t="n"/>
      <c r="E540" s="72" t="n"/>
      <c r="F540" s="73" t="n"/>
      <c r="G540" s="73" t="n"/>
      <c r="H540" s="72" t="n"/>
      <c r="I540" s="72" t="n"/>
      <c r="J540" s="72" t="n"/>
      <c r="K540" s="72" t="n"/>
      <c r="L540" s="72" t="n"/>
      <c r="M540" s="72" t="n"/>
      <c r="N540" s="72" t="n"/>
      <c r="O540" s="72" t="n"/>
      <c r="P540" s="72" t="n"/>
      <c r="Q540" s="72" t="n"/>
      <c r="R540" s="73" t="n"/>
      <c r="S540" s="73" t="n"/>
      <c r="T540" s="72" t="n"/>
      <c r="U540" s="72" t="n"/>
      <c r="V540" s="72" t="n"/>
      <c r="W540" s="72" t="n"/>
      <c r="X540" s="72" t="n"/>
    </row>
    <row r="541">
      <c r="A541" s="71" t="n"/>
      <c r="B541" s="71" t="n"/>
      <c r="C541" s="71" t="n"/>
      <c r="D541" s="71" t="n"/>
      <c r="E541" s="71" t="n"/>
      <c r="F541" s="46" t="n"/>
      <c r="G541" s="46" t="n"/>
      <c r="H541" s="71" t="n"/>
      <c r="I541" s="71" t="n"/>
      <c r="J541" s="71" t="n"/>
      <c r="K541" s="71" t="n"/>
      <c r="L541" s="71" t="n"/>
      <c r="M541" s="71" t="n"/>
      <c r="N541" s="71" t="n"/>
      <c r="O541" s="71" t="n"/>
      <c r="P541" s="71" t="n"/>
      <c r="Q541" s="71" t="n"/>
      <c r="R541" s="46" t="n"/>
      <c r="S541" s="46" t="n"/>
      <c r="T541" s="71" t="n"/>
      <c r="U541" s="71" t="n"/>
      <c r="V541" s="71" t="n"/>
      <c r="W541" s="71" t="n"/>
      <c r="X541" s="71" t="n"/>
    </row>
    <row r="542">
      <c r="A542" s="72" t="n"/>
      <c r="B542" s="72" t="n"/>
      <c r="C542" s="72" t="n"/>
      <c r="D542" s="72" t="n"/>
      <c r="E542" s="72" t="n"/>
      <c r="F542" s="73" t="n"/>
      <c r="G542" s="73" t="n"/>
      <c r="H542" s="72" t="n"/>
      <c r="I542" s="72" t="n"/>
      <c r="J542" s="72" t="n"/>
      <c r="K542" s="72" t="n"/>
      <c r="L542" s="72" t="n"/>
      <c r="M542" s="72" t="n"/>
      <c r="N542" s="72" t="n"/>
      <c r="O542" s="72" t="n"/>
      <c r="P542" s="72" t="n"/>
      <c r="Q542" s="72" t="n"/>
      <c r="R542" s="73" t="n"/>
      <c r="S542" s="73" t="n"/>
      <c r="T542" s="72" t="n"/>
      <c r="U542" s="72" t="n"/>
      <c r="V542" s="72" t="n"/>
      <c r="W542" s="72" t="n"/>
      <c r="X542" s="72" t="n"/>
    </row>
    <row r="543">
      <c r="A543" s="71" t="n"/>
      <c r="B543" s="71" t="n"/>
      <c r="C543" s="71" t="n"/>
      <c r="D543" s="71" t="n"/>
      <c r="E543" s="71" t="n"/>
      <c r="F543" s="46" t="n"/>
      <c r="G543" s="46" t="n"/>
      <c r="H543" s="71" t="n"/>
      <c r="I543" s="71" t="n"/>
      <c r="J543" s="71" t="n"/>
      <c r="K543" s="71" t="n"/>
      <c r="L543" s="71" t="n"/>
      <c r="M543" s="71" t="n"/>
      <c r="N543" s="71" t="n"/>
      <c r="O543" s="71" t="n"/>
      <c r="P543" s="71" t="n"/>
      <c r="Q543" s="71" t="n"/>
      <c r="R543" s="46" t="n"/>
      <c r="S543" s="46" t="n"/>
      <c r="T543" s="71" t="n"/>
      <c r="U543" s="71" t="n"/>
      <c r="V543" s="71" t="n"/>
      <c r="W543" s="71" t="n"/>
      <c r="X543" s="71" t="n"/>
    </row>
    <row r="544">
      <c r="A544" s="72" t="n"/>
      <c r="B544" s="72" t="n"/>
      <c r="C544" s="72" t="n"/>
      <c r="D544" s="72" t="n"/>
      <c r="E544" s="72" t="n"/>
      <c r="F544" s="73" t="n"/>
      <c r="G544" s="73" t="n"/>
      <c r="H544" s="72" t="n"/>
      <c r="I544" s="72" t="n"/>
      <c r="J544" s="72" t="n"/>
      <c r="K544" s="72" t="n"/>
      <c r="L544" s="72" t="n"/>
      <c r="M544" s="72" t="n"/>
      <c r="N544" s="72" t="n"/>
      <c r="O544" s="72" t="n"/>
      <c r="P544" s="72" t="n"/>
      <c r="Q544" s="72" t="n"/>
      <c r="R544" s="73" t="n"/>
      <c r="S544" s="73" t="n"/>
      <c r="T544" s="72" t="n"/>
      <c r="U544" s="72" t="n"/>
      <c r="V544" s="72" t="n"/>
      <c r="W544" s="72" t="n"/>
      <c r="X544" s="72" t="n"/>
    </row>
    <row r="545">
      <c r="A545" s="71" t="n"/>
      <c r="B545" s="71" t="n"/>
      <c r="C545" s="71" t="n"/>
      <c r="D545" s="71" t="n"/>
      <c r="E545" s="71" t="n"/>
      <c r="F545" s="46" t="n"/>
      <c r="G545" s="46" t="n"/>
      <c r="H545" s="71" t="n"/>
      <c r="I545" s="71" t="n"/>
      <c r="J545" s="71" t="n"/>
      <c r="K545" s="71" t="n"/>
      <c r="L545" s="71" t="n"/>
      <c r="M545" s="71" t="n"/>
      <c r="N545" s="71" t="n"/>
      <c r="O545" s="71" t="n"/>
      <c r="P545" s="71" t="n"/>
      <c r="Q545" s="71" t="n"/>
      <c r="R545" s="46" t="n"/>
      <c r="S545" s="46" t="n"/>
      <c r="T545" s="71" t="n"/>
      <c r="U545" s="71" t="n"/>
      <c r="V545" s="71" t="n"/>
      <c r="W545" s="71" t="n"/>
      <c r="X545" s="71" t="n"/>
    </row>
    <row r="546">
      <c r="A546" s="72" t="n"/>
      <c r="B546" s="72" t="n"/>
      <c r="C546" s="72" t="n"/>
      <c r="D546" s="72" t="n"/>
      <c r="E546" s="72" t="n"/>
      <c r="F546" s="73" t="n"/>
      <c r="G546" s="73" t="n"/>
      <c r="H546" s="72" t="n"/>
      <c r="I546" s="72" t="n"/>
      <c r="J546" s="72" t="n"/>
      <c r="K546" s="72" t="n"/>
      <c r="L546" s="72" t="n"/>
      <c r="M546" s="72" t="n"/>
      <c r="N546" s="72" t="n"/>
      <c r="O546" s="72" t="n"/>
      <c r="P546" s="72" t="n"/>
      <c r="Q546" s="72" t="n"/>
      <c r="R546" s="73" t="n"/>
      <c r="S546" s="73" t="n"/>
      <c r="T546" s="72" t="n"/>
      <c r="U546" s="72" t="n"/>
      <c r="V546" s="72" t="n"/>
      <c r="W546" s="72" t="n"/>
      <c r="X546" s="72" t="n"/>
    </row>
    <row r="547">
      <c r="A547" s="71" t="n"/>
      <c r="B547" s="71" t="n"/>
      <c r="C547" s="71" t="n"/>
      <c r="D547" s="71" t="n"/>
      <c r="E547" s="71" t="n"/>
      <c r="F547" s="46" t="n"/>
      <c r="G547" s="46" t="n"/>
      <c r="H547" s="71" t="n"/>
      <c r="I547" s="71" t="n"/>
      <c r="J547" s="71" t="n"/>
      <c r="K547" s="71" t="n"/>
      <c r="L547" s="71" t="n"/>
      <c r="M547" s="71" t="n"/>
      <c r="N547" s="71" t="n"/>
      <c r="O547" s="71" t="n"/>
      <c r="P547" s="71" t="n"/>
      <c r="Q547" s="71" t="n"/>
      <c r="R547" s="46" t="n"/>
      <c r="S547" s="46" t="n"/>
      <c r="T547" s="71" t="n"/>
      <c r="U547" s="71" t="n"/>
      <c r="V547" s="71" t="n"/>
      <c r="W547" s="71" t="n"/>
      <c r="X547" s="71" t="n"/>
    </row>
    <row r="548">
      <c r="A548" s="72" t="n"/>
      <c r="B548" s="72" t="n"/>
      <c r="C548" s="72" t="n"/>
      <c r="D548" s="72" t="n"/>
      <c r="E548" s="72" t="n"/>
      <c r="F548" s="73" t="n"/>
      <c r="G548" s="73" t="n"/>
      <c r="H548" s="72" t="n"/>
      <c r="I548" s="72" t="n"/>
      <c r="J548" s="72" t="n"/>
      <c r="K548" s="72" t="n"/>
      <c r="L548" s="72" t="n"/>
      <c r="M548" s="72" t="n"/>
      <c r="N548" s="72" t="n"/>
      <c r="O548" s="72" t="n"/>
      <c r="P548" s="72" t="n"/>
      <c r="Q548" s="72" t="n"/>
      <c r="R548" s="73" t="n"/>
      <c r="S548" s="73" t="n"/>
      <c r="T548" s="72" t="n"/>
      <c r="U548" s="72" t="n"/>
      <c r="V548" s="72" t="n"/>
      <c r="W548" s="72" t="n"/>
      <c r="X548" s="72" t="n"/>
    </row>
    <row r="549">
      <c r="A549" s="71" t="n"/>
      <c r="B549" s="71" t="n"/>
      <c r="C549" s="71" t="n"/>
      <c r="D549" s="71" t="n"/>
      <c r="E549" s="71" t="n"/>
      <c r="F549" s="46" t="n"/>
      <c r="G549" s="46" t="n"/>
      <c r="H549" s="71" t="n"/>
      <c r="I549" s="71" t="n"/>
      <c r="J549" s="71" t="n"/>
      <c r="K549" s="71" t="n"/>
      <c r="L549" s="71" t="n"/>
      <c r="M549" s="71" t="n"/>
      <c r="N549" s="71" t="n"/>
      <c r="O549" s="71" t="n"/>
      <c r="P549" s="71" t="n"/>
      <c r="Q549" s="71" t="n"/>
      <c r="R549" s="46" t="n"/>
      <c r="S549" s="46" t="n"/>
      <c r="T549" s="71" t="n"/>
      <c r="U549" s="71" t="n"/>
      <c r="V549" s="71" t="n"/>
      <c r="W549" s="71" t="n"/>
      <c r="X549" s="71" t="n"/>
    </row>
    <row r="550">
      <c r="A550" s="72" t="n"/>
      <c r="B550" s="72" t="n"/>
      <c r="C550" s="72" t="n"/>
      <c r="D550" s="72" t="n"/>
      <c r="E550" s="72" t="n"/>
      <c r="F550" s="73" t="n"/>
      <c r="G550" s="73" t="n"/>
      <c r="H550" s="72" t="n"/>
      <c r="I550" s="72" t="n"/>
      <c r="J550" s="72" t="n"/>
      <c r="K550" s="72" t="n"/>
      <c r="L550" s="72" t="n"/>
      <c r="M550" s="72" t="n"/>
      <c r="N550" s="72" t="n"/>
      <c r="O550" s="72" t="n"/>
      <c r="P550" s="72" t="n"/>
      <c r="Q550" s="72" t="n"/>
      <c r="R550" s="73" t="n"/>
      <c r="S550" s="73" t="n"/>
      <c r="T550" s="72" t="n"/>
      <c r="U550" s="72" t="n"/>
      <c r="V550" s="72" t="n"/>
      <c r="W550" s="72" t="n"/>
      <c r="X550" s="72" t="n"/>
    </row>
    <row r="551">
      <c r="A551" s="71" t="n"/>
      <c r="B551" s="71" t="n"/>
      <c r="C551" s="71" t="n"/>
      <c r="D551" s="71" t="n"/>
      <c r="E551" s="71" t="n"/>
      <c r="F551" s="46" t="n"/>
      <c r="G551" s="46" t="n"/>
      <c r="H551" s="71" t="n"/>
      <c r="I551" s="71" t="n"/>
      <c r="J551" s="71" t="n"/>
      <c r="K551" s="71" t="n"/>
      <c r="L551" s="71" t="n"/>
      <c r="M551" s="71" t="n"/>
      <c r="N551" s="71" t="n"/>
      <c r="O551" s="71" t="n"/>
      <c r="P551" s="71" t="n"/>
      <c r="Q551" s="71" t="n"/>
      <c r="R551" s="46" t="n"/>
      <c r="S551" s="46" t="n"/>
      <c r="T551" s="71" t="n"/>
      <c r="U551" s="71" t="n"/>
      <c r="V551" s="71" t="n"/>
      <c r="W551" s="71" t="n"/>
      <c r="X551" s="71" t="n"/>
    </row>
    <row r="552">
      <c r="A552" s="72" t="n"/>
      <c r="B552" s="72" t="n"/>
      <c r="C552" s="72" t="n"/>
      <c r="D552" s="72" t="n"/>
      <c r="E552" s="72" t="n"/>
      <c r="F552" s="73" t="n"/>
      <c r="G552" s="73" t="n"/>
      <c r="H552" s="72" t="n"/>
      <c r="I552" s="72" t="n"/>
      <c r="J552" s="72" t="n"/>
      <c r="K552" s="72" t="n"/>
      <c r="L552" s="72" t="n"/>
      <c r="M552" s="72" t="n"/>
      <c r="N552" s="72" t="n"/>
      <c r="O552" s="72" t="n"/>
      <c r="P552" s="72" t="n"/>
      <c r="Q552" s="72" t="n"/>
      <c r="R552" s="73" t="n"/>
      <c r="S552" s="73" t="n"/>
      <c r="T552" s="72" t="n"/>
      <c r="U552" s="72" t="n"/>
      <c r="V552" s="72" t="n"/>
      <c r="W552" s="72" t="n"/>
      <c r="X552" s="72" t="n"/>
    </row>
    <row r="553">
      <c r="A553" s="71" t="n"/>
      <c r="B553" s="71" t="n"/>
      <c r="C553" s="71" t="n"/>
      <c r="D553" s="71" t="n"/>
      <c r="E553" s="71" t="n"/>
      <c r="F553" s="46" t="n"/>
      <c r="G553" s="46" t="n"/>
      <c r="H553" s="71" t="n"/>
      <c r="I553" s="71" t="n"/>
      <c r="J553" s="71" t="n"/>
      <c r="K553" s="71" t="n"/>
      <c r="L553" s="71" t="n"/>
      <c r="M553" s="71" t="n"/>
      <c r="N553" s="71" t="n"/>
      <c r="O553" s="71" t="n"/>
      <c r="P553" s="71" t="n"/>
      <c r="Q553" s="71" t="n"/>
      <c r="R553" s="46" t="n"/>
      <c r="S553" s="46" t="n"/>
      <c r="T553" s="71" t="n"/>
      <c r="U553" s="71" t="n"/>
      <c r="V553" s="71" t="n"/>
      <c r="W553" s="71" t="n"/>
      <c r="X553" s="71" t="n"/>
    </row>
    <row r="554">
      <c r="A554" s="72" t="n"/>
      <c r="B554" s="72" t="n"/>
      <c r="C554" s="72" t="n"/>
      <c r="D554" s="72" t="n"/>
      <c r="E554" s="72" t="n"/>
      <c r="F554" s="73" t="n"/>
      <c r="G554" s="73" t="n"/>
      <c r="H554" s="72" t="n"/>
      <c r="I554" s="72" t="n"/>
      <c r="J554" s="72" t="n"/>
      <c r="K554" s="72" t="n"/>
      <c r="L554" s="72" t="n"/>
      <c r="M554" s="72" t="n"/>
      <c r="N554" s="72" t="n"/>
      <c r="O554" s="72" t="n"/>
      <c r="P554" s="72" t="n"/>
      <c r="Q554" s="72" t="n"/>
      <c r="R554" s="73" t="n"/>
      <c r="S554" s="73" t="n"/>
      <c r="T554" s="72" t="n"/>
      <c r="U554" s="72" t="n"/>
      <c r="V554" s="72" t="n"/>
      <c r="W554" s="72" t="n"/>
      <c r="X554" s="72" t="n"/>
    </row>
    <row r="555">
      <c r="A555" s="71" t="n"/>
      <c r="B555" s="71" t="n"/>
      <c r="C555" s="71" t="n"/>
      <c r="D555" s="71" t="n"/>
      <c r="E555" s="71" t="n"/>
      <c r="F555" s="46" t="n"/>
      <c r="G555" s="46" t="n"/>
      <c r="H555" s="71" t="n"/>
      <c r="I555" s="71" t="n"/>
      <c r="J555" s="71" t="n"/>
      <c r="K555" s="71" t="n"/>
      <c r="L555" s="71" t="n"/>
      <c r="M555" s="71" t="n"/>
      <c r="N555" s="71" t="n"/>
      <c r="O555" s="71" t="n"/>
      <c r="P555" s="71" t="n"/>
      <c r="Q555" s="71" t="n"/>
      <c r="R555" s="46" t="n"/>
      <c r="S555" s="46" t="n"/>
      <c r="T555" s="71" t="n"/>
      <c r="U555" s="71" t="n"/>
      <c r="V555" s="71" t="n"/>
      <c r="W555" s="71" t="n"/>
      <c r="X555" s="71" t="n"/>
    </row>
    <row r="556">
      <c r="A556" s="72" t="n"/>
      <c r="B556" s="72" t="n"/>
      <c r="C556" s="72" t="n"/>
      <c r="D556" s="72" t="n"/>
      <c r="E556" s="72" t="n"/>
      <c r="F556" s="73" t="n"/>
      <c r="G556" s="73" t="n"/>
      <c r="H556" s="72" t="n"/>
      <c r="I556" s="72" t="n"/>
      <c r="J556" s="72" t="n"/>
      <c r="K556" s="72" t="n"/>
      <c r="L556" s="72" t="n"/>
      <c r="M556" s="72" t="n"/>
      <c r="N556" s="72" t="n"/>
      <c r="O556" s="72" t="n"/>
      <c r="P556" s="72" t="n"/>
      <c r="Q556" s="72" t="n"/>
      <c r="R556" s="73" t="n"/>
      <c r="S556" s="73" t="n"/>
      <c r="T556" s="72" t="n"/>
      <c r="U556" s="72" t="n"/>
      <c r="V556" s="72" t="n"/>
      <c r="W556" s="72" t="n"/>
      <c r="X556" s="72" t="n"/>
    </row>
    <row r="557">
      <c r="A557" s="71" t="n"/>
      <c r="B557" s="71" t="n"/>
      <c r="C557" s="71" t="n"/>
      <c r="D557" s="71" t="n"/>
      <c r="E557" s="71" t="n"/>
      <c r="F557" s="46" t="n"/>
      <c r="G557" s="46" t="n"/>
      <c r="H557" s="71" t="n"/>
      <c r="I557" s="71" t="n"/>
      <c r="J557" s="71" t="n"/>
      <c r="K557" s="71" t="n"/>
      <c r="L557" s="71" t="n"/>
      <c r="M557" s="71" t="n"/>
      <c r="N557" s="71" t="n"/>
      <c r="O557" s="71" t="n"/>
      <c r="P557" s="71" t="n"/>
      <c r="Q557" s="71" t="n"/>
      <c r="R557" s="46" t="n"/>
      <c r="S557" s="46" t="n"/>
      <c r="T557" s="71" t="n"/>
      <c r="U557" s="71" t="n"/>
      <c r="V557" s="71" t="n"/>
      <c r="W557" s="71" t="n"/>
      <c r="X557" s="71" t="n"/>
    </row>
    <row r="558">
      <c r="A558" s="72" t="n"/>
      <c r="B558" s="72" t="n"/>
      <c r="C558" s="72" t="n"/>
      <c r="D558" s="72" t="n"/>
      <c r="E558" s="72" t="n"/>
      <c r="F558" s="73" t="n"/>
      <c r="G558" s="73" t="n"/>
      <c r="H558" s="72" t="n"/>
      <c r="I558" s="72" t="n"/>
      <c r="J558" s="72" t="n"/>
      <c r="K558" s="72" t="n"/>
      <c r="L558" s="72" t="n"/>
      <c r="M558" s="72" t="n"/>
      <c r="N558" s="72" t="n"/>
      <c r="O558" s="72" t="n"/>
      <c r="P558" s="72" t="n"/>
      <c r="Q558" s="72" t="n"/>
      <c r="R558" s="73" t="n"/>
      <c r="S558" s="73" t="n"/>
      <c r="T558" s="72" t="n"/>
      <c r="U558" s="72" t="n"/>
      <c r="V558" s="72" t="n"/>
      <c r="W558" s="72" t="n"/>
      <c r="X558" s="72" t="n"/>
    </row>
    <row r="559">
      <c r="A559" s="71" t="n"/>
      <c r="B559" s="71" t="n"/>
      <c r="C559" s="71" t="n"/>
      <c r="D559" s="71" t="n"/>
      <c r="E559" s="71" t="n"/>
      <c r="F559" s="46" t="n"/>
      <c r="G559" s="46" t="n"/>
      <c r="H559" s="71" t="n"/>
      <c r="I559" s="71" t="n"/>
      <c r="J559" s="71" t="n"/>
      <c r="K559" s="71" t="n"/>
      <c r="L559" s="71" t="n"/>
      <c r="M559" s="71" t="n"/>
      <c r="N559" s="71" t="n"/>
      <c r="O559" s="71" t="n"/>
      <c r="P559" s="71" t="n"/>
      <c r="Q559" s="71" t="n"/>
      <c r="R559" s="46" t="n"/>
      <c r="S559" s="46" t="n"/>
      <c r="T559" s="71" t="n"/>
      <c r="U559" s="71" t="n"/>
      <c r="V559" s="71" t="n"/>
      <c r="W559" s="71" t="n"/>
      <c r="X559" s="71" t="n"/>
    </row>
    <row r="560">
      <c r="A560" s="72" t="n"/>
      <c r="B560" s="72" t="n"/>
      <c r="C560" s="72" t="n"/>
      <c r="D560" s="72" t="n"/>
      <c r="E560" s="72" t="n"/>
      <c r="F560" s="73" t="n"/>
      <c r="G560" s="73" t="n"/>
      <c r="H560" s="72" t="n"/>
      <c r="I560" s="72" t="n"/>
      <c r="J560" s="72" t="n"/>
      <c r="K560" s="72" t="n"/>
      <c r="L560" s="72" t="n"/>
      <c r="M560" s="72" t="n"/>
      <c r="N560" s="72" t="n"/>
      <c r="O560" s="72" t="n"/>
      <c r="P560" s="72" t="n"/>
      <c r="Q560" s="72" t="n"/>
      <c r="R560" s="73" t="n"/>
      <c r="S560" s="73" t="n"/>
      <c r="T560" s="72" t="n"/>
      <c r="U560" s="72" t="n"/>
      <c r="V560" s="72" t="n"/>
      <c r="W560" s="72" t="n"/>
      <c r="X560" s="72" t="n"/>
    </row>
    <row r="561">
      <c r="A561" s="71" t="n"/>
      <c r="B561" s="71" t="n"/>
      <c r="C561" s="71" t="n"/>
      <c r="D561" s="71" t="n"/>
      <c r="E561" s="71" t="n"/>
      <c r="F561" s="46" t="n"/>
      <c r="G561" s="46" t="n"/>
      <c r="H561" s="71" t="n"/>
      <c r="I561" s="71" t="n"/>
      <c r="J561" s="71" t="n"/>
      <c r="K561" s="71" t="n"/>
      <c r="L561" s="71" t="n"/>
      <c r="M561" s="71" t="n"/>
      <c r="N561" s="71" t="n"/>
      <c r="O561" s="71" t="n"/>
      <c r="P561" s="71" t="n"/>
      <c r="Q561" s="71" t="n"/>
      <c r="R561" s="46" t="n"/>
      <c r="S561" s="46" t="n"/>
      <c r="T561" s="71" t="n"/>
      <c r="U561" s="71" t="n"/>
      <c r="V561" s="71" t="n"/>
      <c r="W561" s="71" t="n"/>
      <c r="X561" s="71" t="n"/>
    </row>
    <row r="562">
      <c r="A562" s="72" t="n"/>
      <c r="B562" s="72" t="n"/>
      <c r="C562" s="72" t="n"/>
      <c r="D562" s="72" t="n"/>
      <c r="E562" s="72" t="n"/>
      <c r="F562" s="73" t="n"/>
      <c r="G562" s="73" t="n"/>
      <c r="H562" s="72" t="n"/>
      <c r="I562" s="72" t="n"/>
      <c r="J562" s="72" t="n"/>
      <c r="K562" s="72" t="n"/>
      <c r="L562" s="72" t="n"/>
      <c r="M562" s="72" t="n"/>
      <c r="N562" s="72" t="n"/>
      <c r="O562" s="72" t="n"/>
      <c r="P562" s="72" t="n"/>
      <c r="Q562" s="72" t="n"/>
      <c r="R562" s="73" t="n"/>
      <c r="S562" s="73" t="n"/>
      <c r="T562" s="72" t="n"/>
      <c r="U562" s="72" t="n"/>
      <c r="V562" s="72" t="n"/>
      <c r="W562" s="72" t="n"/>
      <c r="X562" s="72" t="n"/>
    </row>
    <row r="563">
      <c r="A563" s="71" t="n"/>
      <c r="B563" s="71" t="n"/>
      <c r="C563" s="71" t="n"/>
      <c r="D563" s="71" t="n"/>
      <c r="E563" s="71" t="n"/>
      <c r="F563" s="46" t="n"/>
      <c r="G563" s="46" t="n"/>
      <c r="H563" s="71" t="n"/>
      <c r="I563" s="71" t="n"/>
      <c r="J563" s="71" t="n"/>
      <c r="K563" s="71" t="n"/>
      <c r="L563" s="71" t="n"/>
      <c r="M563" s="71" t="n"/>
      <c r="N563" s="71" t="n"/>
      <c r="O563" s="71" t="n"/>
      <c r="P563" s="71" t="n"/>
      <c r="Q563" s="71" t="n"/>
      <c r="R563" s="46" t="n"/>
      <c r="S563" s="46" t="n"/>
      <c r="T563" s="71" t="n"/>
      <c r="U563" s="71" t="n"/>
      <c r="V563" s="71" t="n"/>
      <c r="W563" s="71" t="n"/>
      <c r="X563" s="71" t="n"/>
    </row>
    <row r="564">
      <c r="A564" s="72" t="n"/>
      <c r="B564" s="72" t="n"/>
      <c r="C564" s="72" t="n"/>
      <c r="D564" s="72" t="n"/>
      <c r="E564" s="72" t="n"/>
      <c r="F564" s="73" t="n"/>
      <c r="G564" s="73" t="n"/>
      <c r="H564" s="72" t="n"/>
      <c r="I564" s="72" t="n"/>
      <c r="J564" s="72" t="n"/>
      <c r="K564" s="72" t="n"/>
      <c r="L564" s="72" t="n"/>
      <c r="M564" s="72" t="n"/>
      <c r="N564" s="72" t="n"/>
      <c r="O564" s="72" t="n"/>
      <c r="P564" s="72" t="n"/>
      <c r="Q564" s="72" t="n"/>
      <c r="R564" s="73" t="n"/>
      <c r="S564" s="73" t="n"/>
      <c r="T564" s="72" t="n"/>
      <c r="U564" s="72" t="n"/>
      <c r="V564" s="72" t="n"/>
      <c r="W564" s="72" t="n"/>
      <c r="X564" s="72" t="n"/>
    </row>
    <row r="565">
      <c r="A565" s="71" t="n"/>
      <c r="B565" s="71" t="n"/>
      <c r="C565" s="71" t="n"/>
      <c r="D565" s="71" t="n"/>
      <c r="E565" s="71" t="n"/>
      <c r="F565" s="46" t="n"/>
      <c r="G565" s="46" t="n"/>
      <c r="H565" s="71" t="n"/>
      <c r="I565" s="71" t="n"/>
      <c r="J565" s="71" t="n"/>
      <c r="K565" s="71" t="n"/>
      <c r="L565" s="71" t="n"/>
      <c r="M565" s="71" t="n"/>
      <c r="N565" s="71" t="n"/>
      <c r="O565" s="71" t="n"/>
      <c r="P565" s="71" t="n"/>
      <c r="Q565" s="71" t="n"/>
      <c r="R565" s="46" t="n"/>
      <c r="S565" s="46" t="n"/>
      <c r="T565" s="71" t="n"/>
      <c r="U565" s="71" t="n"/>
      <c r="V565" s="71" t="n"/>
      <c r="W565" s="71" t="n"/>
      <c r="X565" s="71" t="n"/>
    </row>
    <row r="566">
      <c r="A566" s="72" t="n"/>
      <c r="B566" s="72" t="n"/>
      <c r="C566" s="72" t="n"/>
      <c r="D566" s="72" t="n"/>
      <c r="E566" s="72" t="n"/>
      <c r="F566" s="73" t="n"/>
      <c r="G566" s="73" t="n"/>
      <c r="H566" s="72" t="n"/>
      <c r="I566" s="72" t="n"/>
      <c r="J566" s="72" t="n"/>
      <c r="K566" s="72" t="n"/>
      <c r="L566" s="72" t="n"/>
      <c r="M566" s="72" t="n"/>
      <c r="N566" s="72" t="n"/>
      <c r="O566" s="72" t="n"/>
      <c r="P566" s="72" t="n"/>
      <c r="Q566" s="72" t="n"/>
      <c r="R566" s="73" t="n"/>
      <c r="S566" s="73" t="n"/>
      <c r="T566" s="72" t="n"/>
      <c r="U566" s="72" t="n"/>
      <c r="V566" s="72" t="n"/>
      <c r="W566" s="72" t="n"/>
      <c r="X566" s="72" t="n"/>
    </row>
    <row r="567">
      <c r="A567" s="71" t="n"/>
      <c r="B567" s="71" t="n"/>
      <c r="C567" s="71" t="n"/>
      <c r="D567" s="71" t="n"/>
      <c r="E567" s="71" t="n"/>
      <c r="F567" s="46" t="n"/>
      <c r="G567" s="46" t="n"/>
      <c r="H567" s="71" t="n"/>
      <c r="I567" s="71" t="n"/>
      <c r="J567" s="71" t="n"/>
      <c r="K567" s="71" t="n"/>
      <c r="L567" s="71" t="n"/>
      <c r="M567" s="71" t="n"/>
      <c r="N567" s="71" t="n"/>
      <c r="O567" s="71" t="n"/>
      <c r="P567" s="71" t="n"/>
      <c r="Q567" s="71" t="n"/>
      <c r="R567" s="46" t="n"/>
      <c r="S567" s="46" t="n"/>
      <c r="T567" s="71" t="n"/>
      <c r="U567" s="71" t="n"/>
      <c r="V567" s="71" t="n"/>
      <c r="W567" s="71" t="n"/>
      <c r="X567" s="71" t="n"/>
    </row>
    <row r="568">
      <c r="A568" s="72" t="n"/>
      <c r="B568" s="72" t="n"/>
      <c r="C568" s="72" t="n"/>
      <c r="D568" s="72" t="n"/>
      <c r="E568" s="72" t="n"/>
      <c r="F568" s="73" t="n"/>
      <c r="G568" s="73" t="n"/>
      <c r="H568" s="72" t="n"/>
      <c r="I568" s="72" t="n"/>
      <c r="J568" s="72" t="n"/>
      <c r="K568" s="72" t="n"/>
      <c r="L568" s="72" t="n"/>
      <c r="M568" s="72" t="n"/>
      <c r="N568" s="72" t="n"/>
      <c r="O568" s="72" t="n"/>
      <c r="P568" s="72" t="n"/>
      <c r="Q568" s="72" t="n"/>
      <c r="R568" s="73" t="n"/>
      <c r="S568" s="73" t="n"/>
      <c r="T568" s="72" t="n"/>
      <c r="U568" s="72" t="n"/>
      <c r="V568" s="72" t="n"/>
      <c r="W568" s="72" t="n"/>
      <c r="X568" s="72" t="n"/>
    </row>
    <row r="569">
      <c r="A569" s="71" t="n"/>
      <c r="B569" s="71" t="n"/>
      <c r="C569" s="71" t="n"/>
      <c r="D569" s="71" t="n"/>
      <c r="E569" s="71" t="n"/>
      <c r="F569" s="46" t="n"/>
      <c r="G569" s="46" t="n"/>
      <c r="H569" s="71" t="n"/>
      <c r="I569" s="71" t="n"/>
      <c r="J569" s="71" t="n"/>
      <c r="K569" s="71" t="n"/>
      <c r="L569" s="71" t="n"/>
      <c r="M569" s="71" t="n"/>
      <c r="N569" s="71" t="n"/>
      <c r="O569" s="71" t="n"/>
      <c r="P569" s="71" t="n"/>
      <c r="Q569" s="71" t="n"/>
      <c r="R569" s="46" t="n"/>
      <c r="S569" s="46" t="n"/>
      <c r="T569" s="71" t="n"/>
      <c r="U569" s="71" t="n"/>
      <c r="V569" s="71" t="n"/>
      <c r="W569" s="71" t="n"/>
      <c r="X569" s="71" t="n"/>
    </row>
    <row r="570">
      <c r="A570" s="72" t="n"/>
      <c r="B570" s="72" t="n"/>
      <c r="C570" s="72" t="n"/>
      <c r="D570" s="72" t="n"/>
      <c r="E570" s="72" t="n"/>
      <c r="F570" s="73" t="n"/>
      <c r="G570" s="73" t="n"/>
      <c r="H570" s="72" t="n"/>
      <c r="I570" s="72" t="n"/>
      <c r="J570" s="72" t="n"/>
      <c r="K570" s="72" t="n"/>
      <c r="L570" s="72" t="n"/>
      <c r="M570" s="72" t="n"/>
      <c r="N570" s="72" t="n"/>
      <c r="O570" s="72" t="n"/>
      <c r="P570" s="72" t="n"/>
      <c r="Q570" s="72" t="n"/>
      <c r="R570" s="73" t="n"/>
      <c r="S570" s="73" t="n"/>
      <c r="T570" s="72" t="n"/>
      <c r="U570" s="72" t="n"/>
      <c r="V570" s="72" t="n"/>
      <c r="W570" s="72" t="n"/>
      <c r="X570" s="72" t="n"/>
    </row>
    <row r="571">
      <c r="A571" s="71" t="n"/>
      <c r="B571" s="71" t="n"/>
      <c r="C571" s="71" t="n"/>
      <c r="D571" s="71" t="n"/>
      <c r="E571" s="71" t="n"/>
      <c r="F571" s="46" t="n"/>
      <c r="G571" s="46" t="n"/>
      <c r="H571" s="71" t="n"/>
      <c r="I571" s="71" t="n"/>
      <c r="J571" s="71" t="n"/>
      <c r="K571" s="71" t="n"/>
      <c r="L571" s="71" t="n"/>
      <c r="M571" s="71" t="n"/>
      <c r="N571" s="71" t="n"/>
      <c r="O571" s="71" t="n"/>
      <c r="P571" s="71" t="n"/>
      <c r="Q571" s="71" t="n"/>
      <c r="R571" s="46" t="n"/>
      <c r="S571" s="46" t="n"/>
      <c r="T571" s="71" t="n"/>
      <c r="U571" s="71" t="n"/>
      <c r="V571" s="71" t="n"/>
      <c r="W571" s="71" t="n"/>
      <c r="X571" s="71" t="n"/>
    </row>
    <row r="572">
      <c r="A572" s="72" t="n"/>
      <c r="B572" s="72" t="n"/>
      <c r="C572" s="72" t="n"/>
      <c r="D572" s="72" t="n"/>
      <c r="E572" s="72" t="n"/>
      <c r="F572" s="73" t="n"/>
      <c r="G572" s="73" t="n"/>
      <c r="H572" s="72" t="n"/>
      <c r="I572" s="72" t="n"/>
      <c r="J572" s="72" t="n"/>
      <c r="K572" s="72" t="n"/>
      <c r="L572" s="72" t="n"/>
      <c r="M572" s="72" t="n"/>
      <c r="N572" s="72" t="n"/>
      <c r="O572" s="72" t="n"/>
      <c r="P572" s="72" t="n"/>
      <c r="Q572" s="72" t="n"/>
      <c r="R572" s="73" t="n"/>
      <c r="S572" s="73" t="n"/>
      <c r="T572" s="72" t="n"/>
      <c r="U572" s="72" t="n"/>
      <c r="V572" s="72" t="n"/>
      <c r="W572" s="72" t="n"/>
      <c r="X572" s="72" t="n"/>
    </row>
    <row r="573">
      <c r="A573" s="71" t="n"/>
      <c r="B573" s="71" t="n"/>
      <c r="C573" s="71" t="n"/>
      <c r="D573" s="71" t="n"/>
      <c r="E573" s="71" t="n"/>
      <c r="F573" s="46" t="n"/>
      <c r="G573" s="46" t="n"/>
      <c r="H573" s="71" t="n"/>
      <c r="I573" s="71" t="n"/>
      <c r="J573" s="71" t="n"/>
      <c r="K573" s="71" t="n"/>
      <c r="L573" s="71" t="n"/>
      <c r="M573" s="71" t="n"/>
      <c r="N573" s="71" t="n"/>
      <c r="O573" s="71" t="n"/>
      <c r="P573" s="71" t="n"/>
      <c r="Q573" s="71" t="n"/>
      <c r="R573" s="46" t="n"/>
      <c r="S573" s="46" t="n"/>
      <c r="T573" s="71" t="n"/>
      <c r="U573" s="71" t="n"/>
      <c r="V573" s="71" t="n"/>
      <c r="W573" s="71" t="n"/>
      <c r="X573" s="71" t="n"/>
    </row>
    <row r="574">
      <c r="A574" s="72" t="n"/>
      <c r="B574" s="72" t="n"/>
      <c r="C574" s="72" t="n"/>
      <c r="D574" s="72" t="n"/>
      <c r="E574" s="72" t="n"/>
      <c r="F574" s="73" t="n"/>
      <c r="G574" s="73" t="n"/>
      <c r="H574" s="72" t="n"/>
      <c r="I574" s="72" t="n"/>
      <c r="J574" s="72" t="n"/>
      <c r="K574" s="72" t="n"/>
      <c r="L574" s="72" t="n"/>
      <c r="M574" s="72" t="n"/>
      <c r="N574" s="72" t="n"/>
      <c r="O574" s="72" t="n"/>
      <c r="P574" s="72" t="n"/>
      <c r="Q574" s="72" t="n"/>
      <c r="R574" s="73" t="n"/>
      <c r="S574" s="73" t="n"/>
      <c r="T574" s="72" t="n"/>
      <c r="U574" s="72" t="n"/>
      <c r="V574" s="72" t="n"/>
      <c r="W574" s="72" t="n"/>
      <c r="X574" s="72" t="n"/>
    </row>
    <row r="575">
      <c r="A575" s="71" t="n"/>
      <c r="B575" s="71" t="n"/>
      <c r="C575" s="71" t="n"/>
      <c r="D575" s="71" t="n"/>
      <c r="E575" s="71" t="n"/>
      <c r="F575" s="46" t="n"/>
      <c r="G575" s="46" t="n"/>
      <c r="H575" s="71" t="n"/>
      <c r="I575" s="71" t="n"/>
      <c r="J575" s="71" t="n"/>
      <c r="K575" s="71" t="n"/>
      <c r="L575" s="71" t="n"/>
      <c r="M575" s="71" t="n"/>
      <c r="N575" s="71" t="n"/>
      <c r="O575" s="71" t="n"/>
      <c r="P575" s="71" t="n"/>
      <c r="Q575" s="71" t="n"/>
      <c r="R575" s="46" t="n"/>
      <c r="S575" s="46" t="n"/>
      <c r="T575" s="71" t="n"/>
      <c r="U575" s="71" t="n"/>
      <c r="V575" s="71" t="n"/>
      <c r="W575" s="71" t="n"/>
      <c r="X575" s="71" t="n"/>
    </row>
    <row r="576">
      <c r="A576" s="72" t="n"/>
      <c r="B576" s="72" t="n"/>
      <c r="C576" s="72" t="n"/>
      <c r="D576" s="72" t="n"/>
      <c r="E576" s="72" t="n"/>
      <c r="F576" s="73" t="n"/>
      <c r="G576" s="73" t="n"/>
      <c r="H576" s="72" t="n"/>
      <c r="I576" s="72" t="n"/>
      <c r="J576" s="72" t="n"/>
      <c r="K576" s="72" t="n"/>
      <c r="L576" s="72" t="n"/>
      <c r="M576" s="72" t="n"/>
      <c r="N576" s="72" t="n"/>
      <c r="O576" s="72" t="n"/>
      <c r="P576" s="72" t="n"/>
      <c r="Q576" s="72" t="n"/>
      <c r="R576" s="73" t="n"/>
      <c r="S576" s="73" t="n"/>
      <c r="T576" s="72" t="n"/>
      <c r="U576" s="72" t="n"/>
      <c r="V576" s="72" t="n"/>
      <c r="W576" s="72" t="n"/>
      <c r="X576" s="72" t="n"/>
    </row>
    <row r="577">
      <c r="A577" s="71" t="n"/>
      <c r="B577" s="71" t="n"/>
      <c r="C577" s="71" t="n"/>
      <c r="D577" s="71" t="n"/>
      <c r="E577" s="71" t="n"/>
      <c r="F577" s="46" t="n"/>
      <c r="G577" s="46" t="n"/>
      <c r="H577" s="71" t="n"/>
      <c r="I577" s="71" t="n"/>
      <c r="J577" s="71" t="n"/>
      <c r="K577" s="71" t="n"/>
      <c r="L577" s="71" t="n"/>
      <c r="M577" s="71" t="n"/>
      <c r="N577" s="71" t="n"/>
      <c r="O577" s="71" t="n"/>
      <c r="P577" s="71" t="n"/>
      <c r="Q577" s="71" t="n"/>
      <c r="R577" s="46" t="n"/>
      <c r="S577" s="46" t="n"/>
      <c r="T577" s="71" t="n"/>
      <c r="U577" s="71" t="n"/>
      <c r="V577" s="71" t="n"/>
      <c r="W577" s="71" t="n"/>
      <c r="X577" s="71" t="n"/>
    </row>
    <row r="578">
      <c r="A578" s="72" t="n"/>
      <c r="B578" s="72" t="n"/>
      <c r="C578" s="72" t="n"/>
      <c r="D578" s="72" t="n"/>
      <c r="E578" s="72" t="n"/>
      <c r="F578" s="73" t="n"/>
      <c r="G578" s="73" t="n"/>
      <c r="H578" s="72" t="n"/>
      <c r="I578" s="72" t="n"/>
      <c r="J578" s="72" t="n"/>
      <c r="K578" s="72" t="n"/>
      <c r="L578" s="72" t="n"/>
      <c r="M578" s="72" t="n"/>
      <c r="N578" s="72" t="n"/>
      <c r="O578" s="72" t="n"/>
      <c r="P578" s="72" t="n"/>
      <c r="Q578" s="72" t="n"/>
      <c r="R578" s="73" t="n"/>
      <c r="S578" s="73" t="n"/>
      <c r="T578" s="72" t="n"/>
      <c r="U578" s="72" t="n"/>
      <c r="V578" s="72" t="n"/>
      <c r="W578" s="72" t="n"/>
      <c r="X578" s="72" t="n"/>
    </row>
    <row r="579">
      <c r="A579" s="71" t="n"/>
      <c r="B579" s="71" t="n"/>
      <c r="C579" s="71" t="n"/>
      <c r="D579" s="71" t="n"/>
      <c r="E579" s="71" t="n"/>
      <c r="F579" s="46" t="n"/>
      <c r="G579" s="46" t="n"/>
      <c r="H579" s="71" t="n"/>
      <c r="I579" s="71" t="n"/>
      <c r="J579" s="71" t="n"/>
      <c r="K579" s="71" t="n"/>
      <c r="L579" s="71" t="n"/>
      <c r="M579" s="71" t="n"/>
      <c r="N579" s="71" t="n"/>
      <c r="O579" s="71" t="n"/>
      <c r="P579" s="71" t="n"/>
      <c r="Q579" s="71" t="n"/>
      <c r="R579" s="46" t="n"/>
      <c r="S579" s="46" t="n"/>
      <c r="T579" s="71" t="n"/>
      <c r="U579" s="71" t="n"/>
      <c r="V579" s="71" t="n"/>
      <c r="W579" s="71" t="n"/>
      <c r="X579" s="71" t="n"/>
    </row>
    <row r="580">
      <c r="A580" s="72" t="n"/>
      <c r="B580" s="72" t="n"/>
      <c r="C580" s="72" t="n"/>
      <c r="D580" s="72" t="n"/>
      <c r="E580" s="72" t="n"/>
      <c r="F580" s="73" t="n"/>
      <c r="G580" s="73" t="n"/>
      <c r="H580" s="72" t="n"/>
      <c r="I580" s="72" t="n"/>
      <c r="J580" s="72" t="n"/>
      <c r="K580" s="72" t="n"/>
      <c r="L580" s="72" t="n"/>
      <c r="M580" s="72" t="n"/>
      <c r="N580" s="72" t="n"/>
      <c r="O580" s="72" t="n"/>
      <c r="P580" s="72" t="n"/>
      <c r="Q580" s="72" t="n"/>
      <c r="R580" s="73" t="n"/>
      <c r="S580" s="73" t="n"/>
      <c r="T580" s="72" t="n"/>
      <c r="U580" s="72" t="n"/>
      <c r="V580" s="72" t="n"/>
      <c r="W580" s="72" t="n"/>
      <c r="X580" s="72" t="n"/>
    </row>
    <row r="581">
      <c r="A581" s="71" t="n"/>
      <c r="B581" s="71" t="n"/>
      <c r="C581" s="71" t="n"/>
      <c r="D581" s="71" t="n"/>
      <c r="E581" s="71" t="n"/>
      <c r="F581" s="46" t="n"/>
      <c r="G581" s="46" t="n"/>
      <c r="H581" s="71" t="n"/>
      <c r="I581" s="71" t="n"/>
      <c r="J581" s="71" t="n"/>
      <c r="K581" s="71" t="n"/>
      <c r="L581" s="71" t="n"/>
      <c r="M581" s="71" t="n"/>
      <c r="N581" s="71" t="n"/>
      <c r="O581" s="71" t="n"/>
      <c r="P581" s="71" t="n"/>
      <c r="Q581" s="71" t="n"/>
      <c r="R581" s="46" t="n"/>
      <c r="S581" s="46" t="n"/>
      <c r="T581" s="71" t="n"/>
      <c r="U581" s="71" t="n"/>
      <c r="V581" s="71" t="n"/>
      <c r="W581" s="71" t="n"/>
      <c r="X581" s="71" t="n"/>
    </row>
    <row r="582">
      <c r="A582" s="72" t="n"/>
      <c r="B582" s="72" t="n"/>
      <c r="C582" s="72" t="n"/>
      <c r="D582" s="72" t="n"/>
      <c r="E582" s="72" t="n"/>
      <c r="F582" s="73" t="n"/>
      <c r="G582" s="73" t="n"/>
      <c r="H582" s="72" t="n"/>
      <c r="I582" s="72" t="n"/>
      <c r="J582" s="72" t="n"/>
      <c r="K582" s="72" t="n"/>
      <c r="L582" s="72" t="n"/>
      <c r="M582" s="72" t="n"/>
      <c r="N582" s="72" t="n"/>
      <c r="O582" s="72" t="n"/>
      <c r="P582" s="72" t="n"/>
      <c r="Q582" s="72" t="n"/>
      <c r="R582" s="73" t="n"/>
      <c r="S582" s="73" t="n"/>
      <c r="T582" s="72" t="n"/>
      <c r="U582" s="72" t="n"/>
      <c r="V582" s="72" t="n"/>
      <c r="W582" s="72" t="n"/>
      <c r="X582" s="72" t="n"/>
    </row>
    <row r="583">
      <c r="A583" s="71" t="n"/>
      <c r="B583" s="71" t="n"/>
      <c r="C583" s="71" t="n"/>
      <c r="D583" s="71" t="n"/>
      <c r="E583" s="71" t="n"/>
      <c r="F583" s="46" t="n"/>
      <c r="G583" s="46" t="n"/>
      <c r="H583" s="71" t="n"/>
      <c r="I583" s="71" t="n"/>
      <c r="J583" s="71" t="n"/>
      <c r="K583" s="71" t="n"/>
      <c r="L583" s="71" t="n"/>
      <c r="M583" s="71" t="n"/>
      <c r="N583" s="71" t="n"/>
      <c r="O583" s="71" t="n"/>
      <c r="P583" s="71" t="n"/>
      <c r="Q583" s="71" t="n"/>
      <c r="R583" s="46" t="n"/>
      <c r="S583" s="46" t="n"/>
      <c r="T583" s="71" t="n"/>
      <c r="U583" s="71" t="n"/>
      <c r="V583" s="71" t="n"/>
      <c r="W583" s="71" t="n"/>
      <c r="X583" s="71" t="n"/>
    </row>
    <row r="584">
      <c r="A584" s="72" t="n"/>
      <c r="B584" s="72" t="n"/>
      <c r="C584" s="72" t="n"/>
      <c r="D584" s="72" t="n"/>
      <c r="E584" s="72" t="n"/>
      <c r="F584" s="73" t="n"/>
      <c r="G584" s="73" t="n"/>
      <c r="H584" s="72" t="n"/>
      <c r="I584" s="72" t="n"/>
      <c r="J584" s="72" t="n"/>
      <c r="K584" s="72" t="n"/>
      <c r="L584" s="72" t="n"/>
      <c r="M584" s="72" t="n"/>
      <c r="N584" s="72" t="n"/>
      <c r="O584" s="72" t="n"/>
      <c r="P584" s="72" t="n"/>
      <c r="Q584" s="72" t="n"/>
      <c r="R584" s="73" t="n"/>
      <c r="S584" s="73" t="n"/>
      <c r="T584" s="72" t="n"/>
      <c r="U584" s="72" t="n"/>
      <c r="V584" s="72" t="n"/>
      <c r="W584" s="72" t="n"/>
      <c r="X584" s="72" t="n"/>
    </row>
    <row r="585">
      <c r="A585" s="71" t="n"/>
      <c r="B585" s="71" t="n"/>
      <c r="C585" s="71" t="n"/>
      <c r="D585" s="71" t="n"/>
      <c r="E585" s="71" t="n"/>
      <c r="F585" s="46" t="n"/>
      <c r="G585" s="46" t="n"/>
      <c r="H585" s="71" t="n"/>
      <c r="I585" s="71" t="n"/>
      <c r="J585" s="71" t="n"/>
      <c r="K585" s="71" t="n"/>
      <c r="L585" s="71" t="n"/>
      <c r="M585" s="71" t="n"/>
      <c r="N585" s="71" t="n"/>
      <c r="O585" s="71" t="n"/>
      <c r="P585" s="71" t="n"/>
      <c r="Q585" s="71" t="n"/>
      <c r="R585" s="46" t="n"/>
      <c r="S585" s="46" t="n"/>
      <c r="T585" s="71" t="n"/>
      <c r="U585" s="71" t="n"/>
      <c r="V585" s="71" t="n"/>
      <c r="W585" s="71" t="n"/>
      <c r="X585" s="71" t="n"/>
    </row>
    <row r="586">
      <c r="A586" s="72" t="n"/>
      <c r="B586" s="72" t="n"/>
      <c r="C586" s="72" t="n"/>
      <c r="D586" s="72" t="n"/>
      <c r="E586" s="72" t="n"/>
      <c r="F586" s="73" t="n"/>
      <c r="G586" s="73" t="n"/>
      <c r="H586" s="72" t="n"/>
      <c r="I586" s="72" t="n"/>
      <c r="J586" s="72" t="n"/>
      <c r="K586" s="72" t="n"/>
      <c r="L586" s="72" t="n"/>
      <c r="M586" s="72" t="n"/>
      <c r="N586" s="72" t="n"/>
      <c r="O586" s="72" t="n"/>
      <c r="P586" s="72" t="n"/>
      <c r="Q586" s="72" t="n"/>
      <c r="R586" s="73" t="n"/>
      <c r="S586" s="73" t="n"/>
      <c r="T586" s="72" t="n"/>
      <c r="U586" s="72" t="n"/>
      <c r="V586" s="72" t="n"/>
      <c r="W586" s="72" t="n"/>
      <c r="X586" s="72" t="n"/>
    </row>
    <row r="587">
      <c r="A587" s="71" t="n"/>
      <c r="B587" s="71" t="n"/>
      <c r="C587" s="71" t="n"/>
      <c r="D587" s="71" t="n"/>
      <c r="E587" s="71" t="n"/>
      <c r="F587" s="46" t="n"/>
      <c r="G587" s="46" t="n"/>
      <c r="H587" s="71" t="n"/>
      <c r="I587" s="71" t="n"/>
      <c r="J587" s="71" t="n"/>
      <c r="K587" s="71" t="n"/>
      <c r="L587" s="71" t="n"/>
      <c r="M587" s="71" t="n"/>
      <c r="N587" s="71" t="n"/>
      <c r="O587" s="71" t="n"/>
      <c r="P587" s="71" t="n"/>
      <c r="Q587" s="71" t="n"/>
      <c r="R587" s="46" t="n"/>
      <c r="S587" s="46" t="n"/>
      <c r="T587" s="71" t="n"/>
      <c r="U587" s="71" t="n"/>
      <c r="V587" s="71" t="n"/>
      <c r="W587" s="71" t="n"/>
      <c r="X587" s="71" t="n"/>
    </row>
    <row r="588">
      <c r="A588" s="72" t="n"/>
      <c r="B588" s="72" t="n"/>
      <c r="C588" s="72" t="n"/>
      <c r="D588" s="72" t="n"/>
      <c r="E588" s="72" t="n"/>
      <c r="F588" s="73" t="n"/>
      <c r="G588" s="73" t="n"/>
      <c r="H588" s="72" t="n"/>
      <c r="I588" s="72" t="n"/>
      <c r="J588" s="72" t="n"/>
      <c r="K588" s="72" t="n"/>
      <c r="L588" s="72" t="n"/>
      <c r="M588" s="72" t="n"/>
      <c r="N588" s="72" t="n"/>
      <c r="O588" s="72" t="n"/>
      <c r="P588" s="72" t="n"/>
      <c r="Q588" s="72" t="n"/>
      <c r="R588" s="73" t="n"/>
      <c r="S588" s="73" t="n"/>
      <c r="T588" s="72" t="n"/>
      <c r="U588" s="72" t="n"/>
      <c r="V588" s="72" t="n"/>
      <c r="W588" s="72" t="n"/>
      <c r="X588" s="72" t="n"/>
    </row>
    <row r="589">
      <c r="A589" s="71" t="n"/>
      <c r="B589" s="71" t="n"/>
      <c r="C589" s="71" t="n"/>
      <c r="D589" s="71" t="n"/>
      <c r="E589" s="71" t="n"/>
      <c r="F589" s="46" t="n"/>
      <c r="G589" s="46" t="n"/>
      <c r="H589" s="71" t="n"/>
      <c r="I589" s="71" t="n"/>
      <c r="J589" s="71" t="n"/>
      <c r="K589" s="71" t="n"/>
      <c r="L589" s="71" t="n"/>
      <c r="M589" s="71" t="n"/>
      <c r="N589" s="71" t="n"/>
      <c r="O589" s="71" t="n"/>
      <c r="P589" s="71" t="n"/>
      <c r="Q589" s="71" t="n"/>
      <c r="R589" s="46" t="n"/>
      <c r="S589" s="46" t="n"/>
      <c r="T589" s="71" t="n"/>
      <c r="U589" s="71" t="n"/>
      <c r="V589" s="71" t="n"/>
      <c r="W589" s="71" t="n"/>
      <c r="X589" s="71" t="n"/>
    </row>
    <row r="590">
      <c r="A590" s="72" t="n"/>
      <c r="B590" s="72" t="n"/>
      <c r="C590" s="72" t="n"/>
      <c r="D590" s="72" t="n"/>
      <c r="E590" s="72" t="n"/>
      <c r="F590" s="73" t="n"/>
      <c r="G590" s="73" t="n"/>
      <c r="H590" s="72" t="n"/>
      <c r="I590" s="72" t="n"/>
      <c r="J590" s="72" t="n"/>
      <c r="K590" s="72" t="n"/>
      <c r="L590" s="72" t="n"/>
      <c r="M590" s="72" t="n"/>
      <c r="N590" s="72" t="n"/>
      <c r="O590" s="72" t="n"/>
      <c r="P590" s="72" t="n"/>
      <c r="Q590" s="72" t="n"/>
      <c r="R590" s="73" t="n"/>
      <c r="S590" s="73" t="n"/>
      <c r="T590" s="72" t="n"/>
      <c r="U590" s="72" t="n"/>
      <c r="V590" s="72" t="n"/>
      <c r="W590" s="72" t="n"/>
      <c r="X590" s="72" t="n"/>
    </row>
    <row r="591">
      <c r="A591" s="71" t="n"/>
      <c r="B591" s="71" t="n"/>
      <c r="C591" s="71" t="n"/>
      <c r="D591" s="71" t="n"/>
      <c r="E591" s="71" t="n"/>
      <c r="F591" s="46" t="n"/>
      <c r="G591" s="46" t="n"/>
      <c r="H591" s="71" t="n"/>
      <c r="I591" s="71" t="n"/>
      <c r="J591" s="71" t="n"/>
      <c r="K591" s="71" t="n"/>
      <c r="L591" s="71" t="n"/>
      <c r="M591" s="71" t="n"/>
      <c r="N591" s="71" t="n"/>
      <c r="O591" s="71" t="n"/>
      <c r="P591" s="71" t="n"/>
      <c r="Q591" s="71" t="n"/>
      <c r="R591" s="46" t="n"/>
      <c r="S591" s="46" t="n"/>
      <c r="T591" s="71" t="n"/>
      <c r="U591" s="71" t="n"/>
      <c r="V591" s="71" t="n"/>
      <c r="W591" s="71" t="n"/>
      <c r="X591" s="71" t="n"/>
    </row>
    <row r="592">
      <c r="A592" s="72" t="n"/>
      <c r="B592" s="72" t="n"/>
      <c r="C592" s="72" t="n"/>
      <c r="D592" s="72" t="n"/>
      <c r="E592" s="72" t="n"/>
      <c r="F592" s="73" t="n"/>
      <c r="G592" s="73" t="n"/>
      <c r="H592" s="72" t="n"/>
      <c r="I592" s="72" t="n"/>
      <c r="J592" s="72" t="n"/>
      <c r="K592" s="72" t="n"/>
      <c r="L592" s="72" t="n"/>
      <c r="M592" s="72" t="n"/>
      <c r="N592" s="72" t="n"/>
      <c r="O592" s="72" t="n"/>
      <c r="P592" s="72" t="n"/>
      <c r="Q592" s="72" t="n"/>
      <c r="R592" s="73" t="n"/>
      <c r="S592" s="73" t="n"/>
      <c r="T592" s="72" t="n"/>
      <c r="U592" s="72" t="n"/>
      <c r="V592" s="72" t="n"/>
      <c r="W592" s="72" t="n"/>
      <c r="X592" s="72" t="n"/>
    </row>
    <row r="593">
      <c r="A593" s="71" t="n"/>
      <c r="B593" s="71" t="n"/>
      <c r="C593" s="71" t="n"/>
      <c r="D593" s="71" t="n"/>
      <c r="E593" s="71" t="n"/>
      <c r="F593" s="46" t="n"/>
      <c r="G593" s="46" t="n"/>
      <c r="H593" s="71" t="n"/>
      <c r="I593" s="71" t="n"/>
      <c r="J593" s="71" t="n"/>
      <c r="K593" s="71" t="n"/>
      <c r="L593" s="71" t="n"/>
      <c r="M593" s="71" t="n"/>
      <c r="N593" s="71" t="n"/>
      <c r="O593" s="71" t="n"/>
      <c r="P593" s="71" t="n"/>
      <c r="Q593" s="71" t="n"/>
      <c r="R593" s="46" t="n"/>
      <c r="S593" s="46" t="n"/>
      <c r="T593" s="71" t="n"/>
      <c r="U593" s="71" t="n"/>
      <c r="V593" s="71" t="n"/>
      <c r="W593" s="71" t="n"/>
      <c r="X593" s="71" t="n"/>
    </row>
    <row r="594">
      <c r="A594" s="72" t="n"/>
      <c r="B594" s="72" t="n"/>
      <c r="C594" s="72" t="n"/>
      <c r="D594" s="72" t="n"/>
      <c r="E594" s="72" t="n"/>
      <c r="F594" s="73" t="n"/>
      <c r="G594" s="73" t="n"/>
      <c r="H594" s="72" t="n"/>
      <c r="I594" s="72" t="n"/>
      <c r="J594" s="72" t="n"/>
      <c r="K594" s="72" t="n"/>
      <c r="L594" s="72" t="n"/>
      <c r="M594" s="72" t="n"/>
      <c r="N594" s="72" t="n"/>
      <c r="O594" s="72" t="n"/>
      <c r="P594" s="72" t="n"/>
      <c r="Q594" s="72" t="n"/>
      <c r="R594" s="73" t="n"/>
      <c r="S594" s="73" t="n"/>
      <c r="T594" s="72" t="n"/>
      <c r="U594" s="72" t="n"/>
      <c r="V594" s="72" t="n"/>
      <c r="W594" s="72" t="n"/>
      <c r="X594" s="72" t="n"/>
    </row>
    <row r="595">
      <c r="A595" s="71" t="n"/>
      <c r="B595" s="71" t="n"/>
      <c r="C595" s="71" t="n"/>
      <c r="D595" s="71" t="n"/>
      <c r="E595" s="71" t="n"/>
      <c r="F595" s="46" t="n"/>
      <c r="G595" s="46" t="n"/>
      <c r="H595" s="71" t="n"/>
      <c r="I595" s="71" t="n"/>
      <c r="J595" s="71" t="n"/>
      <c r="K595" s="71" t="n"/>
      <c r="L595" s="71" t="n"/>
      <c r="M595" s="71" t="n"/>
      <c r="N595" s="71" t="n"/>
      <c r="O595" s="71" t="n"/>
      <c r="P595" s="71" t="n"/>
      <c r="Q595" s="71" t="n"/>
      <c r="R595" s="46" t="n"/>
      <c r="S595" s="46" t="n"/>
      <c r="T595" s="71" t="n"/>
      <c r="U595" s="71" t="n"/>
      <c r="V595" s="71" t="n"/>
      <c r="W595" s="71" t="n"/>
      <c r="X595" s="71" t="n"/>
    </row>
    <row r="596">
      <c r="A596" s="72" t="n"/>
      <c r="B596" s="72" t="n"/>
      <c r="C596" s="72" t="n"/>
      <c r="D596" s="72" t="n"/>
      <c r="E596" s="72" t="n"/>
      <c r="F596" s="73" t="n"/>
      <c r="G596" s="73" t="n"/>
      <c r="H596" s="72" t="n"/>
      <c r="I596" s="72" t="n"/>
      <c r="J596" s="72" t="n"/>
      <c r="K596" s="72" t="n"/>
      <c r="L596" s="72" t="n"/>
      <c r="M596" s="72" t="n"/>
      <c r="N596" s="72" t="n"/>
      <c r="O596" s="72" t="n"/>
      <c r="P596" s="72" t="n"/>
      <c r="Q596" s="72" t="n"/>
      <c r="R596" s="73" t="n"/>
      <c r="S596" s="73" t="n"/>
      <c r="T596" s="72" t="n"/>
      <c r="U596" s="72" t="n"/>
      <c r="V596" s="72" t="n"/>
      <c r="W596" s="72" t="n"/>
      <c r="X596" s="72" t="n"/>
    </row>
    <row r="597">
      <c r="A597" s="71" t="n"/>
      <c r="B597" s="71" t="n"/>
      <c r="C597" s="71" t="n"/>
      <c r="D597" s="71" t="n"/>
      <c r="E597" s="71" t="n"/>
      <c r="F597" s="46" t="n"/>
      <c r="G597" s="46" t="n"/>
      <c r="H597" s="71" t="n"/>
      <c r="I597" s="71" t="n"/>
      <c r="J597" s="71" t="n"/>
      <c r="K597" s="71" t="n"/>
      <c r="L597" s="71" t="n"/>
      <c r="M597" s="71" t="n"/>
      <c r="N597" s="71" t="n"/>
      <c r="O597" s="71" t="n"/>
      <c r="P597" s="71" t="n"/>
      <c r="Q597" s="71" t="n"/>
      <c r="R597" s="46" t="n"/>
      <c r="S597" s="46" t="n"/>
      <c r="T597" s="71" t="n"/>
      <c r="U597" s="71" t="n"/>
      <c r="V597" s="71" t="n"/>
      <c r="W597" s="71" t="n"/>
      <c r="X597" s="71" t="n"/>
    </row>
    <row r="598">
      <c r="A598" s="72" t="n"/>
      <c r="B598" s="72" t="n"/>
      <c r="C598" s="72" t="n"/>
      <c r="D598" s="72" t="n"/>
      <c r="E598" s="72" t="n"/>
      <c r="F598" s="73" t="n"/>
      <c r="G598" s="73" t="n"/>
      <c r="H598" s="72" t="n"/>
      <c r="I598" s="72" t="n"/>
      <c r="J598" s="72" t="n"/>
      <c r="K598" s="72" t="n"/>
      <c r="L598" s="72" t="n"/>
      <c r="M598" s="72" t="n"/>
      <c r="N598" s="72" t="n"/>
      <c r="O598" s="72" t="n"/>
      <c r="P598" s="72" t="n"/>
      <c r="Q598" s="72" t="n"/>
      <c r="R598" s="73" t="n"/>
      <c r="S598" s="73" t="n"/>
      <c r="T598" s="72" t="n"/>
      <c r="U598" s="72" t="n"/>
      <c r="V598" s="72" t="n"/>
      <c r="W598" s="72" t="n"/>
      <c r="X598" s="72" t="n"/>
    </row>
    <row r="599">
      <c r="A599" s="71" t="n"/>
      <c r="B599" s="71" t="n"/>
      <c r="C599" s="71" t="n"/>
      <c r="D599" s="71" t="n"/>
      <c r="E599" s="71" t="n"/>
      <c r="F599" s="46" t="n"/>
      <c r="G599" s="46" t="n"/>
      <c r="H599" s="71" t="n"/>
      <c r="I599" s="71" t="n"/>
      <c r="J599" s="71" t="n"/>
      <c r="K599" s="71" t="n"/>
      <c r="L599" s="71" t="n"/>
      <c r="M599" s="71" t="n"/>
      <c r="N599" s="71" t="n"/>
      <c r="O599" s="71" t="n"/>
      <c r="P599" s="71" t="n"/>
      <c r="Q599" s="71" t="n"/>
      <c r="R599" s="46" t="n"/>
      <c r="S599" s="46" t="n"/>
      <c r="T599" s="71" t="n"/>
      <c r="U599" s="71" t="n"/>
      <c r="V599" s="71" t="n"/>
      <c r="W599" s="71" t="n"/>
      <c r="X599" s="71" t="n"/>
    </row>
    <row r="600">
      <c r="A600" s="72" t="n"/>
      <c r="B600" s="72" t="n"/>
      <c r="C600" s="72" t="n"/>
      <c r="D600" s="72" t="n"/>
      <c r="E600" s="72" t="n"/>
      <c r="F600" s="73" t="n"/>
      <c r="G600" s="73" t="n"/>
      <c r="H600" s="72" t="n"/>
      <c r="I600" s="72" t="n"/>
      <c r="J600" s="72" t="n"/>
      <c r="K600" s="72" t="n"/>
      <c r="L600" s="72" t="n"/>
      <c r="M600" s="72" t="n"/>
      <c r="N600" s="72" t="n"/>
      <c r="O600" s="72" t="n"/>
      <c r="P600" s="72" t="n"/>
      <c r="Q600" s="72" t="n"/>
      <c r="R600" s="73" t="n"/>
      <c r="S600" s="73" t="n"/>
      <c r="T600" s="72" t="n"/>
      <c r="U600" s="72" t="n"/>
      <c r="V600" s="72" t="n"/>
      <c r="W600" s="72" t="n"/>
      <c r="X600" s="72" t="n"/>
    </row>
    <row r="601">
      <c r="A601" s="71" t="n"/>
      <c r="B601" s="71" t="n"/>
      <c r="C601" s="71" t="n"/>
      <c r="D601" s="71" t="n"/>
      <c r="E601" s="71" t="n"/>
      <c r="F601" s="46" t="n"/>
      <c r="G601" s="46" t="n"/>
      <c r="H601" s="71" t="n"/>
      <c r="I601" s="71" t="n"/>
      <c r="J601" s="71" t="n"/>
      <c r="K601" s="71" t="n"/>
      <c r="L601" s="71" t="n"/>
      <c r="M601" s="71" t="n"/>
      <c r="N601" s="71" t="n"/>
      <c r="O601" s="71" t="n"/>
      <c r="P601" s="71" t="n"/>
      <c r="Q601" s="71" t="n"/>
      <c r="R601" s="46" t="n"/>
      <c r="S601" s="46" t="n"/>
      <c r="T601" s="71" t="n"/>
      <c r="U601" s="71" t="n"/>
      <c r="V601" s="71" t="n"/>
      <c r="W601" s="71" t="n"/>
      <c r="X601" s="71" t="n"/>
    </row>
    <row r="602">
      <c r="A602" s="72" t="n"/>
      <c r="B602" s="72" t="n"/>
      <c r="C602" s="72" t="n"/>
      <c r="D602" s="72" t="n"/>
      <c r="E602" s="72" t="n"/>
      <c r="F602" s="73" t="n"/>
      <c r="G602" s="73" t="n"/>
      <c r="H602" s="72" t="n"/>
      <c r="I602" s="72" t="n"/>
      <c r="J602" s="72" t="n"/>
      <c r="K602" s="72" t="n"/>
      <c r="L602" s="72" t="n"/>
      <c r="M602" s="72" t="n"/>
      <c r="N602" s="72" t="n"/>
      <c r="O602" s="72" t="n"/>
      <c r="P602" s="72" t="n"/>
      <c r="Q602" s="72" t="n"/>
      <c r="R602" s="73" t="n"/>
      <c r="S602" s="73" t="n"/>
      <c r="T602" s="72" t="n"/>
      <c r="U602" s="72" t="n"/>
      <c r="V602" s="72" t="n"/>
      <c r="W602" s="72" t="n"/>
      <c r="X602" s="72" t="n"/>
    </row>
    <row r="603">
      <c r="A603" s="71" t="n"/>
      <c r="B603" s="71" t="n"/>
      <c r="C603" s="71" t="n"/>
      <c r="D603" s="71" t="n"/>
      <c r="E603" s="71" t="n"/>
      <c r="F603" s="46" t="n"/>
      <c r="G603" s="46" t="n"/>
      <c r="H603" s="71" t="n"/>
      <c r="I603" s="71" t="n"/>
      <c r="J603" s="71" t="n"/>
      <c r="K603" s="71" t="n"/>
      <c r="L603" s="71" t="n"/>
      <c r="M603" s="71" t="n"/>
      <c r="N603" s="71" t="n"/>
      <c r="O603" s="71" t="n"/>
      <c r="P603" s="71" t="n"/>
      <c r="Q603" s="71" t="n"/>
      <c r="R603" s="46" t="n"/>
      <c r="S603" s="46" t="n"/>
      <c r="T603" s="71" t="n"/>
      <c r="U603" s="71" t="n"/>
      <c r="V603" s="71" t="n"/>
      <c r="W603" s="71" t="n"/>
      <c r="X603" s="71" t="n"/>
    </row>
    <row r="604">
      <c r="A604" s="72" t="n"/>
      <c r="B604" s="72" t="n"/>
      <c r="C604" s="72" t="n"/>
      <c r="D604" s="72" t="n"/>
      <c r="E604" s="72" t="n"/>
      <c r="F604" s="73" t="n"/>
      <c r="G604" s="73" t="n"/>
      <c r="H604" s="72" t="n"/>
      <c r="I604" s="72" t="n"/>
      <c r="J604" s="72" t="n"/>
      <c r="K604" s="72" t="n"/>
      <c r="L604" s="72" t="n"/>
      <c r="M604" s="72" t="n"/>
      <c r="N604" s="72" t="n"/>
      <c r="O604" s="72" t="n"/>
      <c r="P604" s="72" t="n"/>
      <c r="Q604" s="72" t="n"/>
      <c r="R604" s="73" t="n"/>
      <c r="S604" s="73" t="n"/>
      <c r="T604" s="72" t="n"/>
      <c r="U604" s="72" t="n"/>
      <c r="V604" s="72" t="n"/>
      <c r="W604" s="72" t="n"/>
      <c r="X604" s="72" t="n"/>
    </row>
    <row r="605">
      <c r="A605" s="71" t="n"/>
      <c r="B605" s="71" t="n"/>
      <c r="C605" s="71" t="n"/>
      <c r="D605" s="71" t="n"/>
      <c r="E605" s="71" t="n"/>
      <c r="F605" s="46" t="n"/>
      <c r="G605" s="46" t="n"/>
      <c r="H605" s="71" t="n"/>
      <c r="I605" s="71" t="n"/>
      <c r="J605" s="71" t="n"/>
      <c r="K605" s="71" t="n"/>
      <c r="L605" s="71" t="n"/>
      <c r="M605" s="71" t="n"/>
      <c r="N605" s="71" t="n"/>
      <c r="O605" s="71" t="n"/>
      <c r="P605" s="71" t="n"/>
      <c r="Q605" s="71" t="n"/>
      <c r="R605" s="46" t="n"/>
      <c r="S605" s="46" t="n"/>
      <c r="T605" s="71" t="n"/>
      <c r="U605" s="71" t="n"/>
      <c r="V605" s="71" t="n"/>
      <c r="W605" s="71" t="n"/>
      <c r="X605" s="71" t="n"/>
    </row>
    <row r="606">
      <c r="A606" s="72" t="n"/>
      <c r="B606" s="72" t="n"/>
      <c r="C606" s="72" t="n"/>
      <c r="D606" s="72" t="n"/>
      <c r="E606" s="72" t="n"/>
      <c r="F606" s="73" t="n"/>
      <c r="G606" s="73" t="n"/>
      <c r="H606" s="72" t="n"/>
      <c r="I606" s="72" t="n"/>
      <c r="J606" s="72" t="n"/>
      <c r="K606" s="72" t="n"/>
      <c r="L606" s="72" t="n"/>
      <c r="M606" s="72" t="n"/>
      <c r="N606" s="72" t="n"/>
      <c r="O606" s="72" t="n"/>
      <c r="P606" s="72" t="n"/>
      <c r="Q606" s="72" t="n"/>
      <c r="R606" s="73" t="n"/>
      <c r="S606" s="73" t="n"/>
      <c r="T606" s="72" t="n"/>
      <c r="U606" s="72" t="n"/>
      <c r="V606" s="72" t="n"/>
      <c r="W606" s="72" t="n"/>
      <c r="X606" s="72" t="n"/>
    </row>
    <row r="607">
      <c r="A607" s="71" t="n"/>
      <c r="B607" s="71" t="n"/>
      <c r="C607" s="71" t="n"/>
      <c r="D607" s="71" t="n"/>
      <c r="E607" s="71" t="n"/>
      <c r="F607" s="46" t="n"/>
      <c r="G607" s="46" t="n"/>
      <c r="H607" s="71" t="n"/>
      <c r="I607" s="71" t="n"/>
      <c r="J607" s="71" t="n"/>
      <c r="K607" s="71" t="n"/>
      <c r="L607" s="71" t="n"/>
      <c r="M607" s="71" t="n"/>
      <c r="N607" s="71" t="n"/>
      <c r="O607" s="71" t="n"/>
      <c r="P607" s="71" t="n"/>
      <c r="Q607" s="71" t="n"/>
      <c r="R607" s="46" t="n"/>
      <c r="S607" s="46" t="n"/>
      <c r="T607" s="71" t="n"/>
      <c r="U607" s="71" t="n"/>
      <c r="V607" s="71" t="n"/>
      <c r="W607" s="71" t="n"/>
      <c r="X607" s="71" t="n"/>
    </row>
    <row r="608">
      <c r="A608" s="72" t="n"/>
      <c r="B608" s="72" t="n"/>
      <c r="C608" s="72" t="n"/>
      <c r="D608" s="72" t="n"/>
      <c r="E608" s="72" t="n"/>
      <c r="F608" s="73" t="n"/>
      <c r="G608" s="73" t="n"/>
      <c r="H608" s="72" t="n"/>
      <c r="I608" s="72" t="n"/>
      <c r="J608" s="72" t="n"/>
      <c r="K608" s="72" t="n"/>
      <c r="L608" s="72" t="n"/>
      <c r="M608" s="72" t="n"/>
      <c r="N608" s="72" t="n"/>
      <c r="O608" s="72" t="n"/>
      <c r="P608" s="72" t="n"/>
      <c r="Q608" s="72" t="n"/>
      <c r="R608" s="73" t="n"/>
      <c r="S608" s="73" t="n"/>
      <c r="T608" s="72" t="n"/>
      <c r="U608" s="72" t="n"/>
      <c r="V608" s="72" t="n"/>
      <c r="W608" s="72" t="n"/>
      <c r="X608" s="72" t="n"/>
    </row>
    <row r="609">
      <c r="A609" s="71" t="n"/>
      <c r="B609" s="71" t="n"/>
      <c r="C609" s="71" t="n"/>
      <c r="D609" s="71" t="n"/>
      <c r="E609" s="71" t="n"/>
      <c r="F609" s="46" t="n"/>
      <c r="G609" s="46" t="n"/>
      <c r="H609" s="71" t="n"/>
      <c r="I609" s="71" t="n"/>
      <c r="J609" s="71" t="n"/>
      <c r="K609" s="71" t="n"/>
      <c r="L609" s="71" t="n"/>
      <c r="M609" s="71" t="n"/>
      <c r="N609" s="71" t="n"/>
      <c r="O609" s="71" t="n"/>
      <c r="P609" s="71" t="n"/>
      <c r="Q609" s="71" t="n"/>
      <c r="R609" s="46" t="n"/>
      <c r="S609" s="46" t="n"/>
      <c r="T609" s="71" t="n"/>
      <c r="U609" s="71" t="n"/>
      <c r="V609" s="71" t="n"/>
      <c r="W609" s="71" t="n"/>
      <c r="X609" s="71" t="n"/>
    </row>
    <row r="610">
      <c r="A610" s="72" t="n"/>
      <c r="B610" s="72" t="n"/>
      <c r="C610" s="72" t="n"/>
      <c r="D610" s="72" t="n"/>
      <c r="E610" s="72" t="n"/>
      <c r="F610" s="73" t="n"/>
      <c r="G610" s="73" t="n"/>
      <c r="H610" s="72" t="n"/>
      <c r="I610" s="72" t="n"/>
      <c r="J610" s="72" t="n"/>
      <c r="K610" s="72" t="n"/>
      <c r="L610" s="72" t="n"/>
      <c r="M610" s="72" t="n"/>
      <c r="N610" s="72" t="n"/>
      <c r="O610" s="72" t="n"/>
      <c r="P610" s="72" t="n"/>
      <c r="Q610" s="72" t="n"/>
      <c r="R610" s="73" t="n"/>
      <c r="S610" s="73" t="n"/>
      <c r="T610" s="72" t="n"/>
      <c r="U610" s="72" t="n"/>
      <c r="V610" s="72" t="n"/>
      <c r="W610" s="72" t="n"/>
      <c r="X610" s="72" t="n"/>
    </row>
    <row r="611">
      <c r="A611" s="71" t="n"/>
      <c r="B611" s="71" t="n"/>
      <c r="C611" s="71" t="n"/>
      <c r="D611" s="71" t="n"/>
      <c r="E611" s="71" t="n"/>
      <c r="F611" s="46" t="n"/>
      <c r="G611" s="46" t="n"/>
      <c r="H611" s="71" t="n"/>
      <c r="I611" s="71" t="n"/>
      <c r="J611" s="71" t="n"/>
      <c r="K611" s="71" t="n"/>
      <c r="L611" s="71" t="n"/>
      <c r="M611" s="71" t="n"/>
      <c r="N611" s="71" t="n"/>
      <c r="O611" s="71" t="n"/>
      <c r="P611" s="71" t="n"/>
      <c r="Q611" s="71" t="n"/>
      <c r="R611" s="46" t="n"/>
      <c r="S611" s="46" t="n"/>
      <c r="T611" s="71" t="n"/>
      <c r="U611" s="71" t="n"/>
      <c r="V611" s="71" t="n"/>
      <c r="W611" s="71" t="n"/>
      <c r="X611" s="71" t="n"/>
    </row>
    <row r="612">
      <c r="A612" s="72" t="n"/>
      <c r="B612" s="72" t="n"/>
      <c r="C612" s="72" t="n"/>
      <c r="D612" s="72" t="n"/>
      <c r="E612" s="72" t="n"/>
      <c r="F612" s="73" t="n"/>
      <c r="G612" s="73" t="n"/>
      <c r="H612" s="72" t="n"/>
      <c r="I612" s="72" t="n"/>
      <c r="J612" s="72" t="n"/>
      <c r="K612" s="72" t="n"/>
      <c r="L612" s="72" t="n"/>
      <c r="M612" s="72" t="n"/>
      <c r="N612" s="72" t="n"/>
      <c r="O612" s="72" t="n"/>
      <c r="P612" s="72" t="n"/>
      <c r="Q612" s="72" t="n"/>
      <c r="R612" s="73" t="n"/>
      <c r="S612" s="73" t="n"/>
      <c r="T612" s="72" t="n"/>
      <c r="U612" s="72" t="n"/>
      <c r="V612" s="72" t="n"/>
      <c r="W612" s="72" t="n"/>
      <c r="X612" s="72" t="n"/>
    </row>
    <row r="613">
      <c r="A613" s="71" t="n"/>
      <c r="B613" s="71" t="n"/>
      <c r="C613" s="71" t="n"/>
      <c r="D613" s="71" t="n"/>
      <c r="E613" s="71" t="n"/>
      <c r="F613" s="46" t="n"/>
      <c r="G613" s="46" t="n"/>
      <c r="H613" s="71" t="n"/>
      <c r="I613" s="71" t="n"/>
      <c r="J613" s="71" t="n"/>
      <c r="K613" s="71" t="n"/>
      <c r="L613" s="71" t="n"/>
      <c r="M613" s="71" t="n"/>
      <c r="N613" s="71" t="n"/>
      <c r="O613" s="71" t="n"/>
      <c r="P613" s="71" t="n"/>
      <c r="Q613" s="71" t="n"/>
      <c r="R613" s="46" t="n"/>
      <c r="S613" s="46" t="n"/>
      <c r="T613" s="71" t="n"/>
      <c r="U613" s="71" t="n"/>
      <c r="V613" s="71" t="n"/>
      <c r="W613" s="71" t="n"/>
      <c r="X613" s="71" t="n"/>
    </row>
    <row r="614">
      <c r="A614" s="72" t="n"/>
      <c r="B614" s="72" t="n"/>
      <c r="C614" s="72" t="n"/>
      <c r="D614" s="72" t="n"/>
      <c r="E614" s="72" t="n"/>
      <c r="F614" s="73" t="n"/>
      <c r="G614" s="73" t="n"/>
      <c r="H614" s="72" t="n"/>
      <c r="I614" s="72" t="n"/>
      <c r="J614" s="72" t="n"/>
      <c r="K614" s="72" t="n"/>
      <c r="L614" s="72" t="n"/>
      <c r="M614" s="72" t="n"/>
      <c r="N614" s="72" t="n"/>
      <c r="O614" s="72" t="n"/>
      <c r="P614" s="72" t="n"/>
      <c r="Q614" s="72" t="n"/>
      <c r="R614" s="73" t="n"/>
      <c r="S614" s="73" t="n"/>
      <c r="T614" s="72" t="n"/>
      <c r="U614" s="72" t="n"/>
      <c r="V614" s="72" t="n"/>
      <c r="W614" s="72" t="n"/>
      <c r="X614" s="72" t="n"/>
    </row>
    <row r="615">
      <c r="A615" s="71" t="n"/>
      <c r="B615" s="71" t="n"/>
      <c r="C615" s="71" t="n"/>
      <c r="D615" s="71" t="n"/>
      <c r="E615" s="71" t="n"/>
      <c r="F615" s="46" t="n"/>
      <c r="G615" s="46" t="n"/>
      <c r="H615" s="71" t="n"/>
      <c r="I615" s="71" t="n"/>
      <c r="J615" s="71" t="n"/>
      <c r="K615" s="71" t="n"/>
      <c r="L615" s="71" t="n"/>
      <c r="M615" s="71" t="n"/>
      <c r="N615" s="71" t="n"/>
      <c r="O615" s="71" t="n"/>
      <c r="P615" s="71" t="n"/>
      <c r="Q615" s="71" t="n"/>
      <c r="R615" s="46" t="n"/>
      <c r="S615" s="46" t="n"/>
      <c r="T615" s="71" t="n"/>
      <c r="U615" s="71" t="n"/>
      <c r="V615" s="71" t="n"/>
      <c r="W615" s="71" t="n"/>
      <c r="X615" s="71" t="n"/>
    </row>
    <row r="616">
      <c r="A616" s="72" t="n"/>
      <c r="B616" s="72" t="n"/>
      <c r="C616" s="72" t="n"/>
      <c r="D616" s="72" t="n"/>
      <c r="E616" s="72" t="n"/>
      <c r="F616" s="73" t="n"/>
      <c r="G616" s="73" t="n"/>
      <c r="H616" s="72" t="n"/>
      <c r="I616" s="72" t="n"/>
      <c r="J616" s="72" t="n"/>
      <c r="K616" s="72" t="n"/>
      <c r="L616" s="72" t="n"/>
      <c r="M616" s="72" t="n"/>
      <c r="N616" s="72" t="n"/>
      <c r="O616" s="72" t="n"/>
      <c r="P616" s="72" t="n"/>
      <c r="Q616" s="72" t="n"/>
      <c r="R616" s="73" t="n"/>
      <c r="S616" s="73" t="n"/>
      <c r="T616" s="72" t="n"/>
      <c r="U616" s="72" t="n"/>
      <c r="V616" s="72" t="n"/>
      <c r="W616" s="72" t="n"/>
      <c r="X616" s="72" t="n"/>
    </row>
    <row r="617">
      <c r="A617" s="71" t="n"/>
      <c r="B617" s="71" t="n"/>
      <c r="C617" s="71" t="n"/>
      <c r="D617" s="71" t="n"/>
      <c r="E617" s="71" t="n"/>
      <c r="F617" s="46" t="n"/>
      <c r="G617" s="46" t="n"/>
      <c r="H617" s="71" t="n"/>
      <c r="I617" s="71" t="n"/>
      <c r="J617" s="71" t="n"/>
      <c r="K617" s="71" t="n"/>
      <c r="L617" s="71" t="n"/>
      <c r="M617" s="71" t="n"/>
      <c r="N617" s="71" t="n"/>
      <c r="O617" s="71" t="n"/>
      <c r="P617" s="71" t="n"/>
      <c r="Q617" s="71" t="n"/>
      <c r="R617" s="46" t="n"/>
      <c r="S617" s="46" t="n"/>
      <c r="T617" s="71" t="n"/>
      <c r="U617" s="71" t="n"/>
      <c r="V617" s="71" t="n"/>
      <c r="W617" s="71" t="n"/>
      <c r="X617" s="71" t="n"/>
    </row>
    <row r="618">
      <c r="A618" s="72" t="n"/>
      <c r="B618" s="72" t="n"/>
      <c r="C618" s="72" t="n"/>
      <c r="D618" s="72" t="n"/>
      <c r="E618" s="72" t="n"/>
      <c r="F618" s="73" t="n"/>
      <c r="G618" s="73" t="n"/>
      <c r="H618" s="72" t="n"/>
      <c r="I618" s="72" t="n"/>
      <c r="J618" s="72" t="n"/>
      <c r="K618" s="72" t="n"/>
      <c r="L618" s="72" t="n"/>
      <c r="M618" s="72" t="n"/>
      <c r="N618" s="72" t="n"/>
      <c r="O618" s="72" t="n"/>
      <c r="P618" s="72" t="n"/>
      <c r="Q618" s="72" t="n"/>
      <c r="R618" s="73" t="n"/>
      <c r="S618" s="73" t="n"/>
      <c r="T618" s="72" t="n"/>
      <c r="U618" s="72" t="n"/>
      <c r="V618" s="72" t="n"/>
      <c r="W618" s="72" t="n"/>
      <c r="X618" s="72" t="n"/>
    </row>
    <row r="619">
      <c r="A619" s="71" t="n"/>
      <c r="B619" s="71" t="n"/>
      <c r="C619" s="71" t="n"/>
      <c r="D619" s="71" t="n"/>
      <c r="E619" s="71" t="n"/>
      <c r="F619" s="46" t="n"/>
      <c r="G619" s="46" t="n"/>
      <c r="H619" s="71" t="n"/>
      <c r="I619" s="71" t="n"/>
      <c r="J619" s="71" t="n"/>
      <c r="K619" s="71" t="n"/>
      <c r="L619" s="71" t="n"/>
      <c r="M619" s="71" t="n"/>
      <c r="N619" s="71" t="n"/>
      <c r="O619" s="71" t="n"/>
      <c r="P619" s="71" t="n"/>
      <c r="Q619" s="71" t="n"/>
      <c r="R619" s="46" t="n"/>
      <c r="S619" s="46" t="n"/>
      <c r="T619" s="71" t="n"/>
      <c r="U619" s="71" t="n"/>
      <c r="V619" s="71" t="n"/>
      <c r="W619" s="71" t="n"/>
      <c r="X619" s="71" t="n"/>
    </row>
    <row r="620">
      <c r="A620" s="72" t="n"/>
      <c r="B620" s="72" t="n"/>
      <c r="C620" s="72" t="n"/>
      <c r="D620" s="72" t="n"/>
      <c r="E620" s="72" t="n"/>
      <c r="F620" s="73" t="n"/>
      <c r="G620" s="73" t="n"/>
      <c r="H620" s="72" t="n"/>
      <c r="I620" s="72" t="n"/>
      <c r="J620" s="72" t="n"/>
      <c r="K620" s="72" t="n"/>
      <c r="L620" s="72" t="n"/>
      <c r="M620" s="72" t="n"/>
      <c r="N620" s="72" t="n"/>
      <c r="O620" s="72" t="n"/>
      <c r="P620" s="72" t="n"/>
      <c r="Q620" s="72" t="n"/>
      <c r="R620" s="73" t="n"/>
      <c r="S620" s="73" t="n"/>
      <c r="T620" s="72" t="n"/>
      <c r="U620" s="72" t="n"/>
      <c r="V620" s="72" t="n"/>
      <c r="W620" s="72" t="n"/>
      <c r="X620" s="72" t="n"/>
    </row>
    <row r="621">
      <c r="A621" s="71" t="n"/>
      <c r="B621" s="71" t="n"/>
      <c r="C621" s="71" t="n"/>
      <c r="D621" s="71" t="n"/>
      <c r="E621" s="71" t="n"/>
      <c r="F621" s="46" t="n"/>
      <c r="G621" s="46" t="n"/>
      <c r="H621" s="71" t="n"/>
      <c r="I621" s="71" t="n"/>
      <c r="J621" s="71" t="n"/>
      <c r="K621" s="71" t="n"/>
      <c r="L621" s="71" t="n"/>
      <c r="M621" s="71" t="n"/>
      <c r="N621" s="71" t="n"/>
      <c r="O621" s="71" t="n"/>
      <c r="P621" s="71" t="n"/>
      <c r="Q621" s="71" t="n"/>
      <c r="R621" s="46" t="n"/>
      <c r="S621" s="46" t="n"/>
      <c r="T621" s="71" t="n"/>
      <c r="U621" s="71" t="n"/>
      <c r="V621" s="71" t="n"/>
      <c r="W621" s="71" t="n"/>
      <c r="X621" s="71" t="n"/>
    </row>
    <row r="622">
      <c r="A622" s="72" t="n"/>
      <c r="B622" s="72" t="n"/>
      <c r="C622" s="72" t="n"/>
      <c r="D622" s="72" t="n"/>
      <c r="E622" s="72" t="n"/>
      <c r="F622" s="73" t="n"/>
      <c r="G622" s="73" t="n"/>
      <c r="H622" s="72" t="n"/>
      <c r="I622" s="72" t="n"/>
      <c r="J622" s="72" t="n"/>
      <c r="K622" s="72" t="n"/>
      <c r="L622" s="72" t="n"/>
      <c r="M622" s="72" t="n"/>
      <c r="N622" s="72" t="n"/>
      <c r="O622" s="72" t="n"/>
      <c r="P622" s="72" t="n"/>
      <c r="Q622" s="72" t="n"/>
      <c r="R622" s="73" t="n"/>
      <c r="S622" s="73" t="n"/>
      <c r="T622" s="72" t="n"/>
      <c r="U622" s="72" t="n"/>
      <c r="V622" s="72" t="n"/>
      <c r="W622" s="72" t="n"/>
      <c r="X622" s="72" t="n"/>
    </row>
    <row r="623">
      <c r="A623" s="71" t="n"/>
      <c r="B623" s="71" t="n"/>
      <c r="C623" s="71" t="n"/>
      <c r="D623" s="71" t="n"/>
      <c r="E623" s="71" t="n"/>
      <c r="F623" s="46" t="n"/>
      <c r="G623" s="46" t="n"/>
      <c r="H623" s="71" t="n"/>
      <c r="I623" s="71" t="n"/>
      <c r="J623" s="71" t="n"/>
      <c r="K623" s="71" t="n"/>
      <c r="L623" s="71" t="n"/>
      <c r="M623" s="71" t="n"/>
      <c r="N623" s="71" t="n"/>
      <c r="O623" s="71" t="n"/>
      <c r="P623" s="71" t="n"/>
      <c r="Q623" s="71" t="n"/>
      <c r="R623" s="46" t="n"/>
      <c r="S623" s="46" t="n"/>
      <c r="T623" s="71" t="n"/>
      <c r="U623" s="71" t="n"/>
      <c r="V623" s="71" t="n"/>
      <c r="W623" s="71" t="n"/>
      <c r="X623" s="71" t="n"/>
    </row>
    <row r="624">
      <c r="A624" s="72" t="n"/>
      <c r="B624" s="72" t="n"/>
      <c r="C624" s="72" t="n"/>
      <c r="D624" s="72" t="n"/>
      <c r="E624" s="72" t="n"/>
      <c r="F624" s="73" t="n"/>
      <c r="G624" s="73" t="n"/>
      <c r="H624" s="72" t="n"/>
      <c r="I624" s="72" t="n"/>
      <c r="J624" s="72" t="n"/>
      <c r="K624" s="72" t="n"/>
      <c r="L624" s="72" t="n"/>
      <c r="M624" s="72" t="n"/>
      <c r="N624" s="72" t="n"/>
      <c r="O624" s="72" t="n"/>
      <c r="P624" s="72" t="n"/>
      <c r="Q624" s="72" t="n"/>
      <c r="R624" s="73" t="n"/>
      <c r="S624" s="73" t="n"/>
      <c r="T624" s="72" t="n"/>
      <c r="U624" s="72" t="n"/>
      <c r="V624" s="72" t="n"/>
      <c r="W624" s="72" t="n"/>
      <c r="X624" s="72" t="n"/>
    </row>
    <row r="625">
      <c r="A625" s="71" t="n"/>
      <c r="B625" s="71" t="n"/>
      <c r="C625" s="71" t="n"/>
      <c r="D625" s="71" t="n"/>
      <c r="E625" s="71" t="n"/>
      <c r="F625" s="46" t="n"/>
      <c r="G625" s="46" t="n"/>
      <c r="H625" s="71" t="n"/>
      <c r="I625" s="71" t="n"/>
      <c r="J625" s="71" t="n"/>
      <c r="K625" s="71" t="n"/>
      <c r="L625" s="71" t="n"/>
      <c r="M625" s="71" t="n"/>
      <c r="N625" s="71" t="n"/>
      <c r="O625" s="71" t="n"/>
      <c r="P625" s="71" t="n"/>
      <c r="Q625" s="71" t="n"/>
      <c r="R625" s="46" t="n"/>
      <c r="S625" s="46" t="n"/>
      <c r="T625" s="71" t="n"/>
      <c r="U625" s="71" t="n"/>
      <c r="V625" s="71" t="n"/>
      <c r="W625" s="71" t="n"/>
      <c r="X625" s="71" t="n"/>
    </row>
    <row r="626">
      <c r="A626" s="72" t="n"/>
      <c r="B626" s="72" t="n"/>
      <c r="C626" s="72" t="n"/>
      <c r="D626" s="72" t="n"/>
      <c r="E626" s="72" t="n"/>
      <c r="F626" s="73" t="n"/>
      <c r="G626" s="73" t="n"/>
      <c r="H626" s="72" t="n"/>
      <c r="I626" s="72" t="n"/>
      <c r="J626" s="72" t="n"/>
      <c r="K626" s="72" t="n"/>
      <c r="L626" s="72" t="n"/>
      <c r="M626" s="72" t="n"/>
      <c r="N626" s="72" t="n"/>
      <c r="O626" s="72" t="n"/>
      <c r="P626" s="72" t="n"/>
      <c r="Q626" s="72" t="n"/>
      <c r="R626" s="73" t="n"/>
      <c r="S626" s="73" t="n"/>
      <c r="T626" s="72" t="n"/>
      <c r="U626" s="72" t="n"/>
      <c r="V626" s="72" t="n"/>
      <c r="W626" s="72" t="n"/>
      <c r="X626" s="72" t="n"/>
    </row>
    <row r="627">
      <c r="A627" s="71" t="n"/>
      <c r="B627" s="71" t="n"/>
      <c r="C627" s="71" t="n"/>
      <c r="D627" s="71" t="n"/>
      <c r="E627" s="71" t="n"/>
      <c r="F627" s="46" t="n"/>
      <c r="G627" s="46" t="n"/>
      <c r="H627" s="71" t="n"/>
      <c r="I627" s="71" t="n"/>
      <c r="J627" s="71" t="n"/>
      <c r="K627" s="71" t="n"/>
      <c r="L627" s="71" t="n"/>
      <c r="M627" s="71" t="n"/>
      <c r="N627" s="71" t="n"/>
      <c r="O627" s="71" t="n"/>
      <c r="P627" s="71" t="n"/>
      <c r="Q627" s="71" t="n"/>
      <c r="R627" s="46" t="n"/>
      <c r="S627" s="46" t="n"/>
      <c r="T627" s="71" t="n"/>
      <c r="U627" s="71" t="n"/>
      <c r="V627" s="71" t="n"/>
      <c r="W627" s="71" t="n"/>
      <c r="X627" s="71" t="n"/>
    </row>
    <row r="628">
      <c r="A628" s="72" t="n"/>
      <c r="B628" s="72" t="n"/>
      <c r="C628" s="72" t="n"/>
      <c r="D628" s="72" t="n"/>
      <c r="E628" s="72" t="n"/>
      <c r="F628" s="73" t="n"/>
      <c r="G628" s="73" t="n"/>
      <c r="H628" s="72" t="n"/>
      <c r="I628" s="72" t="n"/>
      <c r="J628" s="72" t="n"/>
      <c r="K628" s="72" t="n"/>
      <c r="L628" s="72" t="n"/>
      <c r="M628" s="72" t="n"/>
      <c r="N628" s="72" t="n"/>
      <c r="O628" s="72" t="n"/>
      <c r="P628" s="72" t="n"/>
      <c r="Q628" s="72" t="n"/>
      <c r="R628" s="73" t="n"/>
      <c r="S628" s="73" t="n"/>
      <c r="T628" s="72" t="n"/>
      <c r="U628" s="72" t="n"/>
      <c r="V628" s="72" t="n"/>
      <c r="W628" s="72" t="n"/>
      <c r="X628" s="72" t="n"/>
    </row>
    <row r="629">
      <c r="A629" s="71" t="n"/>
      <c r="B629" s="71" t="n"/>
      <c r="C629" s="71" t="n"/>
      <c r="D629" s="71" t="n"/>
      <c r="E629" s="71" t="n"/>
      <c r="F629" s="46" t="n"/>
      <c r="G629" s="46" t="n"/>
      <c r="H629" s="71" t="n"/>
      <c r="I629" s="71" t="n"/>
      <c r="J629" s="71" t="n"/>
      <c r="K629" s="71" t="n"/>
      <c r="L629" s="71" t="n"/>
      <c r="M629" s="71" t="n"/>
      <c r="N629" s="71" t="n"/>
      <c r="O629" s="71" t="n"/>
      <c r="P629" s="71" t="n"/>
      <c r="Q629" s="71" t="n"/>
      <c r="R629" s="46" t="n"/>
      <c r="S629" s="46" t="n"/>
      <c r="T629" s="71" t="n"/>
      <c r="U629" s="71" t="n"/>
      <c r="V629" s="71" t="n"/>
      <c r="W629" s="71" t="n"/>
      <c r="X629" s="71" t="n"/>
    </row>
    <row r="630">
      <c r="A630" s="72" t="n"/>
      <c r="B630" s="72" t="n"/>
      <c r="C630" s="72" t="n"/>
      <c r="D630" s="72" t="n"/>
      <c r="E630" s="72" t="n"/>
      <c r="F630" s="73" t="n"/>
      <c r="G630" s="73" t="n"/>
      <c r="H630" s="72" t="n"/>
      <c r="I630" s="72" t="n"/>
      <c r="J630" s="72" t="n"/>
      <c r="K630" s="72" t="n"/>
      <c r="L630" s="72" t="n"/>
      <c r="M630" s="72" t="n"/>
      <c r="N630" s="72" t="n"/>
      <c r="O630" s="72" t="n"/>
      <c r="P630" s="72" t="n"/>
      <c r="Q630" s="72" t="n"/>
      <c r="R630" s="73" t="n"/>
      <c r="S630" s="73" t="n"/>
      <c r="T630" s="72" t="n"/>
      <c r="U630" s="72" t="n"/>
      <c r="V630" s="72" t="n"/>
      <c r="W630" s="72" t="n"/>
      <c r="X630" s="72" t="n"/>
    </row>
    <row r="631">
      <c r="A631" s="71" t="n"/>
      <c r="B631" s="71" t="n"/>
      <c r="C631" s="71" t="n"/>
      <c r="D631" s="71" t="n"/>
      <c r="E631" s="71" t="n"/>
      <c r="F631" s="46" t="n"/>
      <c r="G631" s="46" t="n"/>
      <c r="H631" s="71" t="n"/>
      <c r="I631" s="71" t="n"/>
      <c r="J631" s="71" t="n"/>
      <c r="K631" s="71" t="n"/>
      <c r="L631" s="71" t="n"/>
      <c r="M631" s="71" t="n"/>
      <c r="N631" s="71" t="n"/>
      <c r="O631" s="71" t="n"/>
      <c r="P631" s="71" t="n"/>
      <c r="Q631" s="71" t="n"/>
      <c r="R631" s="46" t="n"/>
      <c r="S631" s="46" t="n"/>
      <c r="T631" s="71" t="n"/>
      <c r="U631" s="71" t="n"/>
      <c r="V631" s="71" t="n"/>
      <c r="W631" s="71" t="n"/>
      <c r="X631" s="71" t="n"/>
    </row>
    <row r="632">
      <c r="A632" s="72" t="n"/>
      <c r="B632" s="72" t="n"/>
      <c r="C632" s="72" t="n"/>
      <c r="D632" s="72" t="n"/>
      <c r="E632" s="72" t="n"/>
      <c r="F632" s="73" t="n"/>
      <c r="G632" s="73" t="n"/>
      <c r="H632" s="72" t="n"/>
      <c r="I632" s="72" t="n"/>
      <c r="J632" s="72" t="n"/>
      <c r="K632" s="72" t="n"/>
      <c r="L632" s="72" t="n"/>
      <c r="M632" s="72" t="n"/>
      <c r="N632" s="72" t="n"/>
      <c r="O632" s="72" t="n"/>
      <c r="P632" s="72" t="n"/>
      <c r="Q632" s="72" t="n"/>
      <c r="R632" s="73" t="n"/>
      <c r="S632" s="73" t="n"/>
      <c r="T632" s="72" t="n"/>
      <c r="U632" s="72" t="n"/>
      <c r="V632" s="72" t="n"/>
      <c r="W632" s="72" t="n"/>
      <c r="X632" s="72" t="n"/>
    </row>
    <row r="633">
      <c r="A633" s="71" t="n"/>
      <c r="B633" s="71" t="n"/>
      <c r="C633" s="71" t="n"/>
      <c r="D633" s="71" t="n"/>
      <c r="E633" s="71" t="n"/>
      <c r="F633" s="46" t="n"/>
      <c r="G633" s="46" t="n"/>
      <c r="H633" s="71" t="n"/>
      <c r="I633" s="71" t="n"/>
      <c r="J633" s="71" t="n"/>
      <c r="K633" s="71" t="n"/>
      <c r="L633" s="71" t="n"/>
      <c r="M633" s="71" t="n"/>
      <c r="N633" s="71" t="n"/>
      <c r="O633" s="71" t="n"/>
      <c r="P633" s="71" t="n"/>
      <c r="Q633" s="71" t="n"/>
      <c r="R633" s="46" t="n"/>
      <c r="S633" s="46" t="n"/>
      <c r="T633" s="71" t="n"/>
      <c r="U633" s="71" t="n"/>
      <c r="V633" s="71" t="n"/>
      <c r="W633" s="71" t="n"/>
      <c r="X633" s="71" t="n"/>
    </row>
    <row r="634">
      <c r="A634" s="72" t="n"/>
      <c r="B634" s="72" t="n"/>
      <c r="C634" s="72" t="n"/>
      <c r="D634" s="72" t="n"/>
      <c r="E634" s="72" t="n"/>
      <c r="F634" s="73" t="n"/>
      <c r="G634" s="73" t="n"/>
      <c r="H634" s="72" t="n"/>
      <c r="I634" s="72" t="n"/>
      <c r="J634" s="72" t="n"/>
      <c r="K634" s="72" t="n"/>
      <c r="L634" s="72" t="n"/>
      <c r="M634" s="72" t="n"/>
      <c r="N634" s="72" t="n"/>
      <c r="O634" s="72" t="n"/>
      <c r="P634" s="72" t="n"/>
      <c r="Q634" s="72" t="n"/>
      <c r="R634" s="73" t="n"/>
      <c r="S634" s="73" t="n"/>
      <c r="T634" s="72" t="n"/>
      <c r="U634" s="72" t="n"/>
      <c r="V634" s="72" t="n"/>
      <c r="W634" s="72" t="n"/>
      <c r="X634" s="72" t="n"/>
    </row>
    <row r="635">
      <c r="A635" s="71" t="n"/>
      <c r="B635" s="71" t="n"/>
      <c r="C635" s="71" t="n"/>
      <c r="D635" s="71" t="n"/>
      <c r="E635" s="71" t="n"/>
      <c r="F635" s="46" t="n"/>
      <c r="G635" s="46" t="n"/>
      <c r="H635" s="71" t="n"/>
      <c r="I635" s="71" t="n"/>
      <c r="J635" s="71" t="n"/>
      <c r="K635" s="71" t="n"/>
      <c r="L635" s="71" t="n"/>
      <c r="M635" s="71" t="n"/>
      <c r="N635" s="71" t="n"/>
      <c r="O635" s="71" t="n"/>
      <c r="P635" s="71" t="n"/>
      <c r="Q635" s="71" t="n"/>
      <c r="R635" s="46" t="n"/>
      <c r="S635" s="46" t="n"/>
      <c r="T635" s="71" t="n"/>
      <c r="U635" s="71" t="n"/>
      <c r="V635" s="71" t="n"/>
      <c r="W635" s="71" t="n"/>
      <c r="X635" s="71" t="n"/>
    </row>
    <row r="636">
      <c r="A636" s="72" t="n"/>
      <c r="B636" s="72" t="n"/>
      <c r="C636" s="72" t="n"/>
      <c r="D636" s="72" t="n"/>
      <c r="E636" s="72" t="n"/>
      <c r="F636" s="73" t="n"/>
      <c r="G636" s="73" t="n"/>
      <c r="H636" s="72" t="n"/>
      <c r="I636" s="72" t="n"/>
      <c r="J636" s="72" t="n"/>
      <c r="K636" s="72" t="n"/>
      <c r="L636" s="72" t="n"/>
      <c r="M636" s="72" t="n"/>
      <c r="N636" s="72" t="n"/>
      <c r="O636" s="72" t="n"/>
      <c r="P636" s="72" t="n"/>
      <c r="Q636" s="72" t="n"/>
      <c r="R636" s="73" t="n"/>
      <c r="S636" s="73" t="n"/>
      <c r="T636" s="72" t="n"/>
      <c r="U636" s="72" t="n"/>
      <c r="V636" s="72" t="n"/>
      <c r="W636" s="72" t="n"/>
      <c r="X636" s="72" t="n"/>
    </row>
    <row r="637">
      <c r="A637" s="71" t="n"/>
      <c r="B637" s="71" t="n"/>
      <c r="C637" s="71" t="n"/>
      <c r="D637" s="71" t="n"/>
      <c r="E637" s="71" t="n"/>
      <c r="F637" s="46" t="n"/>
      <c r="G637" s="46" t="n"/>
      <c r="H637" s="71" t="n"/>
      <c r="I637" s="71" t="n"/>
      <c r="J637" s="71" t="n"/>
      <c r="K637" s="71" t="n"/>
      <c r="L637" s="71" t="n"/>
      <c r="M637" s="71" t="n"/>
      <c r="N637" s="71" t="n"/>
      <c r="O637" s="71" t="n"/>
      <c r="P637" s="71" t="n"/>
      <c r="Q637" s="71" t="n"/>
      <c r="R637" s="46" t="n"/>
      <c r="S637" s="46" t="n"/>
      <c r="T637" s="71" t="n"/>
      <c r="U637" s="71" t="n"/>
      <c r="V637" s="71" t="n"/>
      <c r="W637" s="71" t="n"/>
      <c r="X637" s="71" t="n"/>
    </row>
    <row r="638">
      <c r="A638" s="72" t="n"/>
      <c r="B638" s="72" t="n"/>
      <c r="C638" s="72" t="n"/>
      <c r="D638" s="72" t="n"/>
      <c r="E638" s="72" t="n"/>
      <c r="F638" s="73" t="n"/>
      <c r="G638" s="73" t="n"/>
      <c r="H638" s="72" t="n"/>
      <c r="I638" s="72" t="n"/>
      <c r="J638" s="72" t="n"/>
      <c r="K638" s="72" t="n"/>
      <c r="L638" s="72" t="n"/>
      <c r="M638" s="72" t="n"/>
      <c r="N638" s="72" t="n"/>
      <c r="O638" s="72" t="n"/>
      <c r="P638" s="72" t="n"/>
      <c r="Q638" s="72" t="n"/>
      <c r="R638" s="73" t="n"/>
      <c r="S638" s="73" t="n"/>
      <c r="T638" s="72" t="n"/>
      <c r="U638" s="72" t="n"/>
      <c r="V638" s="72" t="n"/>
      <c r="W638" s="72" t="n"/>
      <c r="X638" s="72" t="n"/>
    </row>
    <row r="639">
      <c r="A639" s="71" t="n"/>
      <c r="B639" s="71" t="n"/>
      <c r="C639" s="71" t="n"/>
      <c r="D639" s="71" t="n"/>
      <c r="E639" s="71" t="n"/>
      <c r="F639" s="46" t="n"/>
      <c r="G639" s="46" t="n"/>
      <c r="H639" s="71" t="n"/>
      <c r="I639" s="71" t="n"/>
      <c r="J639" s="71" t="n"/>
      <c r="K639" s="71" t="n"/>
      <c r="L639" s="71" t="n"/>
      <c r="M639" s="71" t="n"/>
      <c r="N639" s="71" t="n"/>
      <c r="O639" s="71" t="n"/>
      <c r="P639" s="71" t="n"/>
      <c r="Q639" s="71" t="n"/>
      <c r="R639" s="46" t="n"/>
      <c r="S639" s="46" t="n"/>
      <c r="T639" s="71" t="n"/>
      <c r="U639" s="71" t="n"/>
      <c r="V639" s="71" t="n"/>
      <c r="W639" s="71" t="n"/>
      <c r="X639" s="71" t="n"/>
    </row>
    <row r="640">
      <c r="A640" s="72" t="n"/>
      <c r="B640" s="72" t="n"/>
      <c r="C640" s="72" t="n"/>
      <c r="D640" s="72" t="n"/>
      <c r="E640" s="72" t="n"/>
      <c r="F640" s="73" t="n"/>
      <c r="G640" s="73" t="n"/>
      <c r="H640" s="72" t="n"/>
      <c r="I640" s="72" t="n"/>
      <c r="J640" s="72" t="n"/>
      <c r="K640" s="72" t="n"/>
      <c r="L640" s="72" t="n"/>
      <c r="M640" s="72" t="n"/>
      <c r="N640" s="72" t="n"/>
      <c r="O640" s="72" t="n"/>
      <c r="P640" s="72" t="n"/>
      <c r="Q640" s="72" t="n"/>
      <c r="R640" s="73" t="n"/>
      <c r="S640" s="73" t="n"/>
      <c r="T640" s="72" t="n"/>
      <c r="U640" s="72" t="n"/>
      <c r="V640" s="72" t="n"/>
      <c r="W640" s="72" t="n"/>
      <c r="X640" s="72" t="n"/>
    </row>
    <row r="641">
      <c r="A641" s="71" t="n"/>
      <c r="B641" s="71" t="n"/>
      <c r="C641" s="71" t="n"/>
      <c r="D641" s="71" t="n"/>
      <c r="E641" s="71" t="n"/>
      <c r="F641" s="46" t="n"/>
      <c r="G641" s="46" t="n"/>
      <c r="H641" s="71" t="n"/>
      <c r="I641" s="71" t="n"/>
      <c r="J641" s="71" t="n"/>
      <c r="K641" s="71" t="n"/>
      <c r="L641" s="71" t="n"/>
      <c r="M641" s="71" t="n"/>
      <c r="N641" s="71" t="n"/>
      <c r="O641" s="71" t="n"/>
      <c r="P641" s="71" t="n"/>
      <c r="Q641" s="71" t="n"/>
      <c r="R641" s="46" t="n"/>
      <c r="S641" s="46" t="n"/>
      <c r="T641" s="71" t="n"/>
      <c r="U641" s="71" t="n"/>
      <c r="V641" s="71" t="n"/>
      <c r="W641" s="71" t="n"/>
      <c r="X641" s="71" t="n"/>
    </row>
    <row r="642">
      <c r="A642" s="72" t="n"/>
      <c r="B642" s="72" t="n"/>
      <c r="C642" s="72" t="n"/>
      <c r="D642" s="72" t="n"/>
      <c r="E642" s="72" t="n"/>
      <c r="F642" s="73" t="n"/>
      <c r="G642" s="73" t="n"/>
      <c r="H642" s="72" t="n"/>
      <c r="I642" s="72" t="n"/>
      <c r="J642" s="72" t="n"/>
      <c r="K642" s="72" t="n"/>
      <c r="L642" s="72" t="n"/>
      <c r="M642" s="72" t="n"/>
      <c r="N642" s="72" t="n"/>
      <c r="O642" s="72" t="n"/>
      <c r="P642" s="72" t="n"/>
      <c r="Q642" s="72" t="n"/>
      <c r="R642" s="73" t="n"/>
      <c r="S642" s="73" t="n"/>
      <c r="T642" s="72" t="n"/>
      <c r="U642" s="72" t="n"/>
      <c r="V642" s="72" t="n"/>
      <c r="W642" s="72" t="n"/>
      <c r="X642" s="72" t="n"/>
    </row>
    <row r="643">
      <c r="A643" s="71" t="n"/>
      <c r="B643" s="71" t="n"/>
      <c r="C643" s="71" t="n"/>
      <c r="D643" s="71" t="n"/>
      <c r="E643" s="71" t="n"/>
      <c r="F643" s="46" t="n"/>
      <c r="G643" s="46" t="n"/>
      <c r="H643" s="71" t="n"/>
      <c r="I643" s="71" t="n"/>
      <c r="J643" s="71" t="n"/>
      <c r="K643" s="71" t="n"/>
      <c r="L643" s="71" t="n"/>
      <c r="M643" s="71" t="n"/>
      <c r="N643" s="71" t="n"/>
      <c r="O643" s="71" t="n"/>
      <c r="P643" s="71" t="n"/>
      <c r="Q643" s="71" t="n"/>
      <c r="R643" s="46" t="n"/>
      <c r="S643" s="46" t="n"/>
      <c r="T643" s="71" t="n"/>
      <c r="U643" s="71" t="n"/>
      <c r="V643" s="71" t="n"/>
      <c r="W643" s="71" t="n"/>
      <c r="X643" s="71" t="n"/>
    </row>
    <row r="644">
      <c r="A644" s="72" t="n"/>
      <c r="B644" s="72" t="n"/>
      <c r="C644" s="72" t="n"/>
      <c r="D644" s="72" t="n"/>
      <c r="E644" s="72" t="n"/>
      <c r="F644" s="73" t="n"/>
      <c r="G644" s="73" t="n"/>
      <c r="H644" s="72" t="n"/>
      <c r="I644" s="72" t="n"/>
      <c r="J644" s="72" t="n"/>
      <c r="K644" s="72" t="n"/>
      <c r="L644" s="72" t="n"/>
      <c r="M644" s="72" t="n"/>
      <c r="N644" s="72" t="n"/>
      <c r="O644" s="72" t="n"/>
      <c r="P644" s="72" t="n"/>
      <c r="Q644" s="72" t="n"/>
      <c r="R644" s="73" t="n"/>
      <c r="S644" s="73" t="n"/>
      <c r="T644" s="72" t="n"/>
      <c r="U644" s="72" t="n"/>
      <c r="V644" s="72" t="n"/>
      <c r="W644" s="72" t="n"/>
      <c r="X644" s="72" t="n"/>
    </row>
    <row r="645">
      <c r="A645" s="71" t="n"/>
      <c r="B645" s="71" t="n"/>
      <c r="C645" s="71" t="n"/>
      <c r="D645" s="71" t="n"/>
      <c r="E645" s="71" t="n"/>
      <c r="F645" s="46" t="n"/>
      <c r="G645" s="46" t="n"/>
      <c r="H645" s="71" t="n"/>
      <c r="I645" s="71" t="n"/>
      <c r="J645" s="71" t="n"/>
      <c r="K645" s="71" t="n"/>
      <c r="L645" s="71" t="n"/>
      <c r="M645" s="71" t="n"/>
      <c r="N645" s="71" t="n"/>
      <c r="O645" s="71" t="n"/>
      <c r="P645" s="71" t="n"/>
      <c r="Q645" s="71" t="n"/>
      <c r="R645" s="46" t="n"/>
      <c r="S645" s="46" t="n"/>
      <c r="T645" s="71" t="n"/>
      <c r="U645" s="71" t="n"/>
      <c r="V645" s="71" t="n"/>
      <c r="W645" s="71" t="n"/>
      <c r="X645" s="71" t="n"/>
    </row>
    <row r="646">
      <c r="A646" s="72" t="n"/>
      <c r="B646" s="72" t="n"/>
      <c r="C646" s="72" t="n"/>
      <c r="D646" s="72" t="n"/>
      <c r="E646" s="72" t="n"/>
      <c r="F646" s="73" t="n"/>
      <c r="G646" s="73" t="n"/>
      <c r="H646" s="72" t="n"/>
      <c r="I646" s="72" t="n"/>
      <c r="J646" s="72" t="n"/>
      <c r="K646" s="72" t="n"/>
      <c r="L646" s="72" t="n"/>
      <c r="M646" s="72" t="n"/>
      <c r="N646" s="72" t="n"/>
      <c r="O646" s="72" t="n"/>
      <c r="P646" s="72" t="n"/>
      <c r="Q646" s="72" t="n"/>
      <c r="R646" s="73" t="n"/>
      <c r="S646" s="73" t="n"/>
      <c r="T646" s="72" t="n"/>
      <c r="U646" s="72" t="n"/>
      <c r="V646" s="72" t="n"/>
      <c r="W646" s="72" t="n"/>
      <c r="X646" s="72" t="n"/>
    </row>
    <row r="647">
      <c r="A647" s="71" t="n"/>
      <c r="B647" s="71" t="n"/>
      <c r="C647" s="71" t="n"/>
      <c r="D647" s="71" t="n"/>
      <c r="E647" s="71" t="n"/>
      <c r="F647" s="46" t="n"/>
      <c r="G647" s="46" t="n"/>
      <c r="H647" s="71" t="n"/>
      <c r="I647" s="71" t="n"/>
      <c r="J647" s="71" t="n"/>
      <c r="K647" s="71" t="n"/>
      <c r="L647" s="71" t="n"/>
      <c r="M647" s="71" t="n"/>
      <c r="N647" s="71" t="n"/>
      <c r="O647" s="71" t="n"/>
      <c r="P647" s="71" t="n"/>
      <c r="Q647" s="71" t="n"/>
      <c r="R647" s="46" t="n"/>
      <c r="S647" s="46" t="n"/>
      <c r="T647" s="71" t="n"/>
      <c r="U647" s="71" t="n"/>
      <c r="V647" s="71" t="n"/>
      <c r="W647" s="71" t="n"/>
      <c r="X647" s="71" t="n"/>
    </row>
    <row r="648">
      <c r="A648" s="72" t="n"/>
      <c r="B648" s="72" t="n"/>
      <c r="C648" s="72" t="n"/>
      <c r="D648" s="72" t="n"/>
      <c r="E648" s="72" t="n"/>
      <c r="F648" s="73" t="n"/>
      <c r="G648" s="73" t="n"/>
      <c r="H648" s="72" t="n"/>
      <c r="I648" s="72" t="n"/>
      <c r="J648" s="72" t="n"/>
      <c r="K648" s="72" t="n"/>
      <c r="L648" s="72" t="n"/>
      <c r="M648" s="72" t="n"/>
      <c r="N648" s="72" t="n"/>
      <c r="O648" s="72" t="n"/>
      <c r="P648" s="72" t="n"/>
      <c r="Q648" s="72" t="n"/>
      <c r="R648" s="73" t="n"/>
      <c r="S648" s="73" t="n"/>
      <c r="T648" s="72" t="n"/>
      <c r="U648" s="72" t="n"/>
      <c r="V648" s="72" t="n"/>
      <c r="W648" s="72" t="n"/>
      <c r="X648" s="72" t="n"/>
    </row>
    <row r="649">
      <c r="A649" s="71" t="n"/>
      <c r="B649" s="71" t="n"/>
      <c r="C649" s="71" t="n"/>
      <c r="D649" s="71" t="n"/>
      <c r="E649" s="71" t="n"/>
      <c r="F649" s="46" t="n"/>
      <c r="G649" s="46" t="n"/>
      <c r="H649" s="71" t="n"/>
      <c r="I649" s="71" t="n"/>
      <c r="J649" s="71" t="n"/>
      <c r="K649" s="71" t="n"/>
      <c r="L649" s="71" t="n"/>
      <c r="M649" s="71" t="n"/>
      <c r="N649" s="71" t="n"/>
      <c r="O649" s="71" t="n"/>
      <c r="P649" s="71" t="n"/>
      <c r="Q649" s="71" t="n"/>
      <c r="R649" s="46" t="n"/>
      <c r="S649" s="46" t="n"/>
      <c r="T649" s="71" t="n"/>
      <c r="U649" s="71" t="n"/>
      <c r="V649" s="71" t="n"/>
      <c r="W649" s="71" t="n"/>
      <c r="X649" s="71" t="n"/>
    </row>
    <row r="650">
      <c r="A650" s="72" t="n"/>
      <c r="B650" s="72" t="n"/>
      <c r="C650" s="72" t="n"/>
      <c r="D650" s="72" t="n"/>
      <c r="E650" s="72" t="n"/>
      <c r="F650" s="73" t="n"/>
      <c r="G650" s="73" t="n"/>
      <c r="H650" s="72" t="n"/>
      <c r="I650" s="72" t="n"/>
      <c r="J650" s="72" t="n"/>
      <c r="K650" s="72" t="n"/>
      <c r="L650" s="72" t="n"/>
      <c r="M650" s="72" t="n"/>
      <c r="N650" s="72" t="n"/>
      <c r="O650" s="72" t="n"/>
      <c r="P650" s="72" t="n"/>
      <c r="Q650" s="72" t="n"/>
      <c r="R650" s="73" t="n"/>
      <c r="S650" s="73" t="n"/>
      <c r="T650" s="72" t="n"/>
      <c r="U650" s="72" t="n"/>
      <c r="V650" s="72" t="n"/>
      <c r="W650" s="72" t="n"/>
      <c r="X650" s="72" t="n"/>
    </row>
    <row r="651">
      <c r="A651" s="71" t="n"/>
      <c r="B651" s="71" t="n"/>
      <c r="C651" s="71" t="n"/>
      <c r="D651" s="71" t="n"/>
      <c r="E651" s="71" t="n"/>
      <c r="F651" s="46" t="n"/>
      <c r="G651" s="46" t="n"/>
      <c r="H651" s="71" t="n"/>
      <c r="I651" s="71" t="n"/>
      <c r="J651" s="71" t="n"/>
      <c r="K651" s="71" t="n"/>
      <c r="L651" s="71" t="n"/>
      <c r="M651" s="71" t="n"/>
      <c r="N651" s="71" t="n"/>
      <c r="O651" s="71" t="n"/>
      <c r="P651" s="71" t="n"/>
      <c r="Q651" s="71" t="n"/>
      <c r="R651" s="46" t="n"/>
      <c r="S651" s="46" t="n"/>
      <c r="T651" s="71" t="n"/>
      <c r="U651" s="71" t="n"/>
      <c r="V651" s="71" t="n"/>
      <c r="W651" s="71" t="n"/>
      <c r="X651" s="71" t="n"/>
    </row>
    <row r="652">
      <c r="A652" s="72" t="n"/>
      <c r="B652" s="72" t="n"/>
      <c r="C652" s="72" t="n"/>
      <c r="D652" s="72" t="n"/>
      <c r="E652" s="72" t="n"/>
      <c r="F652" s="73" t="n"/>
      <c r="G652" s="73" t="n"/>
      <c r="H652" s="72" t="n"/>
      <c r="I652" s="72" t="n"/>
      <c r="J652" s="72" t="n"/>
      <c r="K652" s="72" t="n"/>
      <c r="L652" s="72" t="n"/>
      <c r="M652" s="72" t="n"/>
      <c r="N652" s="72" t="n"/>
      <c r="O652" s="72" t="n"/>
      <c r="P652" s="72" t="n"/>
      <c r="Q652" s="72" t="n"/>
      <c r="R652" s="73" t="n"/>
      <c r="S652" s="73" t="n"/>
      <c r="T652" s="72" t="n"/>
      <c r="U652" s="72" t="n"/>
      <c r="V652" s="72" t="n"/>
      <c r="W652" s="72" t="n"/>
      <c r="X652" s="72" t="n"/>
    </row>
    <row r="653">
      <c r="A653" s="71" t="n"/>
      <c r="B653" s="71" t="n"/>
      <c r="C653" s="71" t="n"/>
      <c r="D653" s="71" t="n"/>
      <c r="E653" s="71" t="n"/>
      <c r="F653" s="46" t="n"/>
      <c r="G653" s="46" t="n"/>
      <c r="H653" s="71" t="n"/>
      <c r="I653" s="71" t="n"/>
      <c r="J653" s="71" t="n"/>
      <c r="K653" s="71" t="n"/>
      <c r="L653" s="71" t="n"/>
      <c r="M653" s="71" t="n"/>
      <c r="N653" s="71" t="n"/>
      <c r="O653" s="71" t="n"/>
      <c r="P653" s="71" t="n"/>
      <c r="Q653" s="71" t="n"/>
      <c r="R653" s="46" t="n"/>
      <c r="S653" s="46" t="n"/>
      <c r="T653" s="71" t="n"/>
      <c r="U653" s="71" t="n"/>
      <c r="V653" s="71" t="n"/>
      <c r="W653" s="71" t="n"/>
      <c r="X653" s="71" t="n"/>
    </row>
    <row r="654">
      <c r="A654" s="72" t="n"/>
      <c r="B654" s="72" t="n"/>
      <c r="C654" s="72" t="n"/>
      <c r="D654" s="72" t="n"/>
      <c r="E654" s="72" t="n"/>
      <c r="F654" s="73" t="n"/>
      <c r="G654" s="73" t="n"/>
      <c r="H654" s="72" t="n"/>
      <c r="I654" s="72" t="n"/>
      <c r="J654" s="72" t="n"/>
      <c r="K654" s="72" t="n"/>
      <c r="L654" s="72" t="n"/>
      <c r="M654" s="72" t="n"/>
      <c r="N654" s="72" t="n"/>
      <c r="O654" s="72" t="n"/>
      <c r="P654" s="72" t="n"/>
      <c r="Q654" s="72" t="n"/>
      <c r="R654" s="73" t="n"/>
      <c r="S654" s="73" t="n"/>
      <c r="T654" s="72" t="n"/>
      <c r="U654" s="72" t="n"/>
      <c r="V654" s="72" t="n"/>
      <c r="W654" s="72" t="n"/>
      <c r="X654" s="72" t="n"/>
    </row>
    <row r="655">
      <c r="A655" s="71" t="n"/>
      <c r="B655" s="71" t="n"/>
      <c r="C655" s="71" t="n"/>
      <c r="D655" s="71" t="n"/>
      <c r="E655" s="71" t="n"/>
      <c r="F655" s="46" t="n"/>
      <c r="G655" s="46" t="n"/>
      <c r="H655" s="71" t="n"/>
      <c r="I655" s="71" t="n"/>
      <c r="J655" s="71" t="n"/>
      <c r="K655" s="71" t="n"/>
      <c r="L655" s="71" t="n"/>
      <c r="M655" s="71" t="n"/>
      <c r="N655" s="71" t="n"/>
      <c r="O655" s="71" t="n"/>
      <c r="P655" s="71" t="n"/>
      <c r="Q655" s="71" t="n"/>
      <c r="R655" s="46" t="n"/>
      <c r="S655" s="46" t="n"/>
      <c r="T655" s="71" t="n"/>
      <c r="U655" s="71" t="n"/>
      <c r="V655" s="71" t="n"/>
      <c r="W655" s="71" t="n"/>
      <c r="X655" s="71" t="n"/>
    </row>
    <row r="656">
      <c r="A656" s="72" t="n"/>
      <c r="B656" s="72" t="n"/>
      <c r="C656" s="72" t="n"/>
      <c r="D656" s="72" t="n"/>
      <c r="E656" s="72" t="n"/>
      <c r="F656" s="73" t="n"/>
      <c r="G656" s="73" t="n"/>
      <c r="H656" s="72" t="n"/>
      <c r="I656" s="72" t="n"/>
      <c r="J656" s="72" t="n"/>
      <c r="K656" s="72" t="n"/>
      <c r="L656" s="72" t="n"/>
      <c r="M656" s="72" t="n"/>
      <c r="N656" s="72" t="n"/>
      <c r="O656" s="72" t="n"/>
      <c r="P656" s="72" t="n"/>
      <c r="Q656" s="72" t="n"/>
      <c r="R656" s="73" t="n"/>
      <c r="S656" s="73" t="n"/>
      <c r="T656" s="72" t="n"/>
      <c r="U656" s="72" t="n"/>
      <c r="V656" s="72" t="n"/>
      <c r="W656" s="72" t="n"/>
      <c r="X656" s="72" t="n"/>
    </row>
    <row r="657">
      <c r="A657" s="71" t="n"/>
      <c r="B657" s="71" t="n"/>
      <c r="C657" s="71" t="n"/>
      <c r="D657" s="71" t="n"/>
      <c r="E657" s="71" t="n"/>
      <c r="F657" s="46" t="n"/>
      <c r="G657" s="46" t="n"/>
      <c r="H657" s="71" t="n"/>
      <c r="I657" s="71" t="n"/>
      <c r="J657" s="71" t="n"/>
      <c r="K657" s="71" t="n"/>
      <c r="L657" s="71" t="n"/>
      <c r="M657" s="71" t="n"/>
      <c r="N657" s="71" t="n"/>
      <c r="O657" s="71" t="n"/>
      <c r="P657" s="71" t="n"/>
      <c r="Q657" s="71" t="n"/>
      <c r="R657" s="46" t="n"/>
      <c r="S657" s="46" t="n"/>
      <c r="T657" s="71" t="n"/>
      <c r="U657" s="71" t="n"/>
      <c r="V657" s="71" t="n"/>
      <c r="W657" s="71" t="n"/>
      <c r="X657" s="71" t="n"/>
    </row>
    <row r="658">
      <c r="A658" s="72" t="n"/>
      <c r="B658" s="72" t="n"/>
      <c r="C658" s="72" t="n"/>
      <c r="D658" s="72" t="n"/>
      <c r="E658" s="72" t="n"/>
      <c r="F658" s="73" t="n"/>
      <c r="G658" s="73" t="n"/>
      <c r="H658" s="72" t="n"/>
      <c r="I658" s="72" t="n"/>
      <c r="J658" s="72" t="n"/>
      <c r="K658" s="72" t="n"/>
      <c r="L658" s="72" t="n"/>
      <c r="M658" s="72" t="n"/>
      <c r="N658" s="72" t="n"/>
      <c r="O658" s="72" t="n"/>
      <c r="P658" s="72" t="n"/>
      <c r="Q658" s="72" t="n"/>
      <c r="R658" s="73" t="n"/>
      <c r="S658" s="73" t="n"/>
      <c r="T658" s="72" t="n"/>
      <c r="U658" s="72" t="n"/>
      <c r="V658" s="72" t="n"/>
      <c r="W658" s="72" t="n"/>
      <c r="X658" s="72" t="n"/>
    </row>
    <row r="659">
      <c r="A659" s="71" t="n"/>
      <c r="B659" s="71" t="n"/>
      <c r="C659" s="71" t="n"/>
      <c r="D659" s="71" t="n"/>
      <c r="E659" s="71" t="n"/>
      <c r="F659" s="46" t="n"/>
      <c r="G659" s="46" t="n"/>
      <c r="H659" s="71" t="n"/>
      <c r="I659" s="71" t="n"/>
      <c r="J659" s="71" t="n"/>
      <c r="K659" s="71" t="n"/>
      <c r="L659" s="71" t="n"/>
      <c r="M659" s="71" t="n"/>
      <c r="N659" s="71" t="n"/>
      <c r="O659" s="71" t="n"/>
      <c r="P659" s="71" t="n"/>
      <c r="Q659" s="71" t="n"/>
      <c r="R659" s="46" t="n"/>
      <c r="S659" s="46" t="n"/>
      <c r="T659" s="71" t="n"/>
      <c r="U659" s="71" t="n"/>
      <c r="V659" s="71" t="n"/>
      <c r="W659" s="71" t="n"/>
      <c r="X659" s="71" t="n"/>
    </row>
    <row r="660">
      <c r="A660" s="72" t="n"/>
      <c r="B660" s="72" t="n"/>
      <c r="C660" s="72" t="n"/>
      <c r="D660" s="72" t="n"/>
      <c r="E660" s="72" t="n"/>
      <c r="F660" s="73" t="n"/>
      <c r="G660" s="73" t="n"/>
      <c r="H660" s="72" t="n"/>
      <c r="I660" s="72" t="n"/>
      <c r="J660" s="72" t="n"/>
      <c r="K660" s="72" t="n"/>
      <c r="L660" s="72" t="n"/>
      <c r="M660" s="72" t="n"/>
      <c r="N660" s="72" t="n"/>
      <c r="O660" s="72" t="n"/>
      <c r="P660" s="72" t="n"/>
      <c r="Q660" s="72" t="n"/>
      <c r="R660" s="73" t="n"/>
      <c r="S660" s="73" t="n"/>
      <c r="T660" s="72" t="n"/>
      <c r="U660" s="72" t="n"/>
      <c r="V660" s="72" t="n"/>
      <c r="W660" s="72" t="n"/>
      <c r="X660" s="72" t="n"/>
    </row>
    <row r="661">
      <c r="A661" s="71" t="n"/>
      <c r="B661" s="71" t="n"/>
      <c r="C661" s="71" t="n"/>
      <c r="D661" s="71" t="n"/>
      <c r="E661" s="71" t="n"/>
      <c r="F661" s="46" t="n"/>
      <c r="G661" s="46" t="n"/>
      <c r="H661" s="71" t="n"/>
      <c r="I661" s="71" t="n"/>
      <c r="J661" s="71" t="n"/>
      <c r="K661" s="71" t="n"/>
      <c r="L661" s="71" t="n"/>
      <c r="M661" s="71" t="n"/>
      <c r="N661" s="71" t="n"/>
      <c r="O661" s="71" t="n"/>
      <c r="P661" s="71" t="n"/>
      <c r="Q661" s="71" t="n"/>
      <c r="R661" s="46" t="n"/>
      <c r="S661" s="46" t="n"/>
      <c r="T661" s="71" t="n"/>
      <c r="U661" s="71" t="n"/>
      <c r="V661" s="71" t="n"/>
      <c r="W661" s="71" t="n"/>
      <c r="X661" s="71" t="n"/>
    </row>
    <row r="662">
      <c r="A662" s="72" t="n"/>
      <c r="B662" s="72" t="n"/>
      <c r="C662" s="72" t="n"/>
      <c r="D662" s="72" t="n"/>
      <c r="E662" s="72" t="n"/>
      <c r="F662" s="73" t="n"/>
      <c r="G662" s="73" t="n"/>
      <c r="H662" s="72" t="n"/>
      <c r="I662" s="72" t="n"/>
      <c r="J662" s="72" t="n"/>
      <c r="K662" s="72" t="n"/>
      <c r="L662" s="72" t="n"/>
      <c r="M662" s="72" t="n"/>
      <c r="N662" s="72" t="n"/>
      <c r="O662" s="72" t="n"/>
      <c r="P662" s="72" t="n"/>
      <c r="Q662" s="72" t="n"/>
      <c r="R662" s="73" t="n"/>
      <c r="S662" s="73" t="n"/>
      <c r="T662" s="72" t="n"/>
      <c r="U662" s="72" t="n"/>
      <c r="V662" s="72" t="n"/>
      <c r="W662" s="72" t="n"/>
      <c r="X662" s="72" t="n"/>
    </row>
    <row r="663">
      <c r="A663" s="71" t="n"/>
      <c r="B663" s="71" t="n"/>
      <c r="C663" s="71" t="n"/>
      <c r="D663" s="71" t="n"/>
      <c r="E663" s="71" t="n"/>
      <c r="F663" s="46" t="n"/>
      <c r="G663" s="46" t="n"/>
      <c r="H663" s="71" t="n"/>
      <c r="I663" s="71" t="n"/>
      <c r="J663" s="71" t="n"/>
      <c r="K663" s="71" t="n"/>
      <c r="L663" s="71" t="n"/>
      <c r="M663" s="71" t="n"/>
      <c r="N663" s="71" t="n"/>
      <c r="O663" s="71" t="n"/>
      <c r="P663" s="71" t="n"/>
      <c r="Q663" s="71" t="n"/>
      <c r="R663" s="46" t="n"/>
      <c r="S663" s="46" t="n"/>
      <c r="T663" s="71" t="n"/>
      <c r="U663" s="71" t="n"/>
      <c r="V663" s="71" t="n"/>
      <c r="W663" s="71" t="n"/>
      <c r="X663" s="71" t="n"/>
    </row>
    <row r="664">
      <c r="A664" s="72" t="n"/>
      <c r="B664" s="72" t="n"/>
      <c r="C664" s="72" t="n"/>
      <c r="D664" s="72" t="n"/>
      <c r="E664" s="72" t="n"/>
      <c r="F664" s="73" t="n"/>
      <c r="G664" s="73" t="n"/>
      <c r="H664" s="72" t="n"/>
      <c r="I664" s="72" t="n"/>
      <c r="J664" s="72" t="n"/>
      <c r="K664" s="72" t="n"/>
      <c r="L664" s="72" t="n"/>
      <c r="M664" s="72" t="n"/>
      <c r="N664" s="72" t="n"/>
      <c r="O664" s="72" t="n"/>
      <c r="P664" s="72" t="n"/>
      <c r="Q664" s="72" t="n"/>
      <c r="R664" s="73" t="n"/>
      <c r="S664" s="73" t="n"/>
      <c r="T664" s="72" t="n"/>
      <c r="U664" s="72" t="n"/>
      <c r="V664" s="72" t="n"/>
      <c r="W664" s="72" t="n"/>
      <c r="X664" s="72" t="n"/>
    </row>
    <row r="665">
      <c r="A665" s="71" t="n"/>
      <c r="B665" s="71" t="n"/>
      <c r="C665" s="71" t="n"/>
      <c r="D665" s="71" t="n"/>
      <c r="E665" s="71" t="n"/>
      <c r="F665" s="46" t="n"/>
      <c r="G665" s="46" t="n"/>
      <c r="H665" s="71" t="n"/>
      <c r="I665" s="71" t="n"/>
      <c r="J665" s="71" t="n"/>
      <c r="K665" s="71" t="n"/>
      <c r="L665" s="71" t="n"/>
      <c r="M665" s="71" t="n"/>
      <c r="N665" s="71" t="n"/>
      <c r="O665" s="71" t="n"/>
      <c r="P665" s="71" t="n"/>
      <c r="Q665" s="71" t="n"/>
      <c r="R665" s="46" t="n"/>
      <c r="S665" s="46" t="n"/>
      <c r="T665" s="71" t="n"/>
      <c r="U665" s="71" t="n"/>
      <c r="V665" s="71" t="n"/>
      <c r="W665" s="71" t="n"/>
      <c r="X665" s="71" t="n"/>
    </row>
    <row r="666">
      <c r="A666" s="72" t="n"/>
      <c r="B666" s="72" t="n"/>
      <c r="C666" s="72" t="n"/>
      <c r="D666" s="72" t="n"/>
      <c r="E666" s="72" t="n"/>
      <c r="F666" s="73" t="n"/>
      <c r="G666" s="73" t="n"/>
      <c r="H666" s="72" t="n"/>
      <c r="I666" s="72" t="n"/>
      <c r="J666" s="72" t="n"/>
      <c r="K666" s="72" t="n"/>
      <c r="L666" s="72" t="n"/>
      <c r="M666" s="72" t="n"/>
      <c r="N666" s="72" t="n"/>
      <c r="O666" s="72" t="n"/>
      <c r="P666" s="72" t="n"/>
      <c r="Q666" s="72" t="n"/>
      <c r="R666" s="73" t="n"/>
      <c r="S666" s="73" t="n"/>
      <c r="T666" s="72" t="n"/>
      <c r="U666" s="72" t="n"/>
      <c r="V666" s="72" t="n"/>
      <c r="W666" s="72" t="n"/>
      <c r="X666" s="72" t="n"/>
    </row>
    <row r="667">
      <c r="A667" s="71" t="n"/>
      <c r="B667" s="71" t="n"/>
      <c r="C667" s="71" t="n"/>
      <c r="D667" s="71" t="n"/>
      <c r="E667" s="71" t="n"/>
      <c r="F667" s="46" t="n"/>
      <c r="G667" s="46" t="n"/>
      <c r="H667" s="71" t="n"/>
      <c r="I667" s="71" t="n"/>
      <c r="J667" s="71" t="n"/>
      <c r="K667" s="71" t="n"/>
      <c r="L667" s="71" t="n"/>
      <c r="M667" s="71" t="n"/>
      <c r="N667" s="71" t="n"/>
      <c r="O667" s="71" t="n"/>
      <c r="P667" s="71" t="n"/>
      <c r="Q667" s="71" t="n"/>
      <c r="R667" s="46" t="n"/>
      <c r="S667" s="46" t="n"/>
      <c r="T667" s="71" t="n"/>
      <c r="U667" s="71" t="n"/>
      <c r="V667" s="71" t="n"/>
      <c r="W667" s="71" t="n"/>
      <c r="X667" s="71" t="n"/>
    </row>
    <row r="668">
      <c r="A668" s="72" t="n"/>
      <c r="B668" s="72" t="n"/>
      <c r="C668" s="72" t="n"/>
      <c r="D668" s="72" t="n"/>
      <c r="E668" s="72" t="n"/>
      <c r="F668" s="73" t="n"/>
      <c r="G668" s="73" t="n"/>
      <c r="H668" s="72" t="n"/>
      <c r="I668" s="72" t="n"/>
      <c r="J668" s="72" t="n"/>
      <c r="K668" s="72" t="n"/>
      <c r="L668" s="72" t="n"/>
      <c r="M668" s="72" t="n"/>
      <c r="N668" s="72" t="n"/>
      <c r="O668" s="72" t="n"/>
      <c r="P668" s="72" t="n"/>
      <c r="Q668" s="72" t="n"/>
      <c r="R668" s="73" t="n"/>
      <c r="S668" s="73" t="n"/>
      <c r="T668" s="72" t="n"/>
      <c r="U668" s="72" t="n"/>
      <c r="V668" s="72" t="n"/>
      <c r="W668" s="72" t="n"/>
      <c r="X668" s="72" t="n"/>
    </row>
    <row r="669">
      <c r="A669" s="71" t="n"/>
      <c r="B669" s="71" t="n"/>
      <c r="C669" s="71" t="n"/>
      <c r="D669" s="71" t="n"/>
      <c r="E669" s="71" t="n"/>
      <c r="F669" s="46" t="n"/>
      <c r="G669" s="46" t="n"/>
      <c r="H669" s="71" t="n"/>
      <c r="I669" s="71" t="n"/>
      <c r="J669" s="71" t="n"/>
      <c r="K669" s="71" t="n"/>
      <c r="L669" s="71" t="n"/>
      <c r="M669" s="71" t="n"/>
      <c r="N669" s="71" t="n"/>
      <c r="O669" s="71" t="n"/>
      <c r="P669" s="71" t="n"/>
      <c r="Q669" s="71" t="n"/>
      <c r="R669" s="46" t="n"/>
      <c r="S669" s="46" t="n"/>
      <c r="T669" s="71" t="n"/>
      <c r="U669" s="71" t="n"/>
      <c r="V669" s="71" t="n"/>
      <c r="W669" s="71" t="n"/>
      <c r="X669" s="71" t="n"/>
    </row>
    <row r="670">
      <c r="A670" s="72" t="n"/>
      <c r="B670" s="72" t="n"/>
      <c r="C670" s="72" t="n"/>
      <c r="D670" s="72" t="n"/>
      <c r="E670" s="72" t="n"/>
      <c r="F670" s="73" t="n"/>
      <c r="G670" s="73" t="n"/>
      <c r="H670" s="72" t="n"/>
      <c r="I670" s="72" t="n"/>
      <c r="J670" s="72" t="n"/>
      <c r="K670" s="72" t="n"/>
      <c r="L670" s="72" t="n"/>
      <c r="M670" s="72" t="n"/>
      <c r="N670" s="72" t="n"/>
      <c r="O670" s="72" t="n"/>
      <c r="P670" s="72" t="n"/>
      <c r="Q670" s="72" t="n"/>
      <c r="R670" s="73" t="n"/>
      <c r="S670" s="73" t="n"/>
      <c r="T670" s="72" t="n"/>
      <c r="U670" s="72" t="n"/>
      <c r="V670" s="72" t="n"/>
      <c r="W670" s="72" t="n"/>
      <c r="X670" s="72" t="n"/>
    </row>
    <row r="671">
      <c r="A671" s="71" t="n"/>
      <c r="B671" s="71" t="n"/>
      <c r="C671" s="71" t="n"/>
      <c r="D671" s="71" t="n"/>
      <c r="E671" s="71" t="n"/>
      <c r="F671" s="46" t="n"/>
      <c r="G671" s="46" t="n"/>
      <c r="H671" s="71" t="n"/>
      <c r="I671" s="71" t="n"/>
      <c r="J671" s="71" t="n"/>
      <c r="K671" s="71" t="n"/>
      <c r="L671" s="71" t="n"/>
      <c r="M671" s="71" t="n"/>
      <c r="N671" s="71" t="n"/>
      <c r="O671" s="71" t="n"/>
      <c r="P671" s="71" t="n"/>
      <c r="Q671" s="71" t="n"/>
      <c r="R671" s="46" t="n"/>
      <c r="S671" s="46" t="n"/>
      <c r="T671" s="71" t="n"/>
      <c r="U671" s="71" t="n"/>
      <c r="V671" s="71" t="n"/>
      <c r="W671" s="71" t="n"/>
      <c r="X671" s="71" t="n"/>
    </row>
    <row r="672">
      <c r="A672" s="72" t="n"/>
      <c r="B672" s="72" t="n"/>
      <c r="C672" s="72" t="n"/>
      <c r="D672" s="72" t="n"/>
      <c r="E672" s="72" t="n"/>
      <c r="F672" s="73" t="n"/>
      <c r="G672" s="73" t="n"/>
      <c r="H672" s="72" t="n"/>
      <c r="I672" s="72" t="n"/>
      <c r="J672" s="72" t="n"/>
      <c r="K672" s="72" t="n"/>
      <c r="L672" s="72" t="n"/>
      <c r="M672" s="72" t="n"/>
      <c r="N672" s="72" t="n"/>
      <c r="O672" s="72" t="n"/>
      <c r="P672" s="72" t="n"/>
      <c r="Q672" s="72" t="n"/>
      <c r="R672" s="73" t="n"/>
      <c r="S672" s="73" t="n"/>
      <c r="T672" s="72" t="n"/>
      <c r="U672" s="72" t="n"/>
      <c r="V672" s="72" t="n"/>
      <c r="W672" s="72" t="n"/>
      <c r="X672" s="72" t="n"/>
    </row>
    <row r="673">
      <c r="A673" s="71" t="n"/>
      <c r="B673" s="71" t="n"/>
      <c r="C673" s="71" t="n"/>
      <c r="D673" s="71" t="n"/>
      <c r="E673" s="71" t="n"/>
      <c r="F673" s="46" t="n"/>
      <c r="G673" s="46" t="n"/>
      <c r="H673" s="71" t="n"/>
      <c r="I673" s="71" t="n"/>
      <c r="J673" s="71" t="n"/>
      <c r="K673" s="71" t="n"/>
      <c r="L673" s="71" t="n"/>
      <c r="M673" s="71" t="n"/>
      <c r="N673" s="71" t="n"/>
      <c r="O673" s="71" t="n"/>
      <c r="P673" s="71" t="n"/>
      <c r="Q673" s="71" t="n"/>
      <c r="R673" s="46" t="n"/>
      <c r="S673" s="46" t="n"/>
      <c r="T673" s="71" t="n"/>
      <c r="U673" s="71" t="n"/>
      <c r="V673" s="71" t="n"/>
      <c r="W673" s="71" t="n"/>
      <c r="X673" s="71" t="n"/>
    </row>
    <row r="674">
      <c r="A674" s="72" t="n"/>
      <c r="B674" s="72" t="n"/>
      <c r="C674" s="72" t="n"/>
      <c r="D674" s="72" t="n"/>
      <c r="E674" s="72" t="n"/>
      <c r="F674" s="73" t="n"/>
      <c r="G674" s="73" t="n"/>
      <c r="H674" s="72" t="n"/>
      <c r="I674" s="72" t="n"/>
      <c r="J674" s="72" t="n"/>
      <c r="K674" s="72" t="n"/>
      <c r="L674" s="72" t="n"/>
      <c r="M674" s="72" t="n"/>
      <c r="N674" s="72" t="n"/>
      <c r="O674" s="72" t="n"/>
      <c r="P674" s="72" t="n"/>
      <c r="Q674" s="72" t="n"/>
      <c r="R674" s="73" t="n"/>
      <c r="S674" s="73" t="n"/>
      <c r="T674" s="72" t="n"/>
      <c r="U674" s="72" t="n"/>
      <c r="V674" s="72" t="n"/>
      <c r="W674" s="72" t="n"/>
      <c r="X674" s="72" t="n"/>
    </row>
    <row r="675">
      <c r="A675" s="71" t="n"/>
      <c r="B675" s="71" t="n"/>
      <c r="C675" s="71" t="n"/>
      <c r="D675" s="71" t="n"/>
      <c r="E675" s="71" t="n"/>
      <c r="F675" s="46" t="n"/>
      <c r="G675" s="46" t="n"/>
      <c r="H675" s="71" t="n"/>
      <c r="I675" s="71" t="n"/>
      <c r="J675" s="71" t="n"/>
      <c r="K675" s="71" t="n"/>
      <c r="L675" s="71" t="n"/>
      <c r="M675" s="71" t="n"/>
      <c r="N675" s="71" t="n"/>
      <c r="O675" s="71" t="n"/>
      <c r="P675" s="71" t="n"/>
      <c r="Q675" s="71" t="n"/>
      <c r="R675" s="46" t="n"/>
      <c r="S675" s="46" t="n"/>
      <c r="T675" s="71" t="n"/>
      <c r="U675" s="71" t="n"/>
      <c r="V675" s="71" t="n"/>
      <c r="W675" s="71" t="n"/>
      <c r="X675" s="71" t="n"/>
    </row>
    <row r="676">
      <c r="A676" s="72" t="n"/>
      <c r="B676" s="72" t="n"/>
      <c r="C676" s="72" t="n"/>
      <c r="D676" s="72" t="n"/>
      <c r="E676" s="72" t="n"/>
      <c r="F676" s="73" t="n"/>
      <c r="G676" s="73" t="n"/>
      <c r="H676" s="72" t="n"/>
      <c r="I676" s="72" t="n"/>
      <c r="J676" s="72" t="n"/>
      <c r="K676" s="72" t="n"/>
      <c r="L676" s="72" t="n"/>
      <c r="M676" s="72" t="n"/>
      <c r="N676" s="72" t="n"/>
      <c r="O676" s="72" t="n"/>
      <c r="P676" s="72" t="n"/>
      <c r="Q676" s="72" t="n"/>
      <c r="R676" s="73" t="n"/>
      <c r="S676" s="73" t="n"/>
      <c r="T676" s="72" t="n"/>
      <c r="U676" s="72" t="n"/>
      <c r="V676" s="72" t="n"/>
      <c r="W676" s="72" t="n"/>
      <c r="X676" s="72" t="n"/>
    </row>
    <row r="677">
      <c r="A677" s="71" t="n"/>
      <c r="B677" s="71" t="n"/>
      <c r="C677" s="71" t="n"/>
      <c r="D677" s="71" t="n"/>
      <c r="E677" s="71" t="n"/>
      <c r="F677" s="46" t="n"/>
      <c r="G677" s="46" t="n"/>
      <c r="H677" s="71" t="n"/>
      <c r="I677" s="71" t="n"/>
      <c r="J677" s="71" t="n"/>
      <c r="K677" s="71" t="n"/>
      <c r="L677" s="71" t="n"/>
      <c r="M677" s="71" t="n"/>
      <c r="N677" s="71" t="n"/>
      <c r="O677" s="71" t="n"/>
      <c r="P677" s="71" t="n"/>
      <c r="Q677" s="71" t="n"/>
      <c r="R677" s="46" t="n"/>
      <c r="S677" s="46" t="n"/>
      <c r="T677" s="71" t="n"/>
      <c r="U677" s="71" t="n"/>
      <c r="V677" s="71" t="n"/>
      <c r="W677" s="71" t="n"/>
      <c r="X677" s="71" t="n"/>
    </row>
    <row r="678">
      <c r="A678" s="72" t="n"/>
      <c r="B678" s="72" t="n"/>
      <c r="C678" s="72" t="n"/>
      <c r="D678" s="72" t="n"/>
      <c r="E678" s="72" t="n"/>
      <c r="F678" s="73" t="n"/>
      <c r="G678" s="73" t="n"/>
      <c r="H678" s="72" t="n"/>
      <c r="I678" s="72" t="n"/>
      <c r="J678" s="72" t="n"/>
      <c r="K678" s="72" t="n"/>
      <c r="L678" s="72" t="n"/>
      <c r="M678" s="72" t="n"/>
      <c r="N678" s="72" t="n"/>
      <c r="O678" s="72" t="n"/>
      <c r="P678" s="72" t="n"/>
      <c r="Q678" s="72" t="n"/>
      <c r="R678" s="73" t="n"/>
      <c r="S678" s="73" t="n"/>
      <c r="T678" s="72" t="n"/>
      <c r="U678" s="72" t="n"/>
      <c r="V678" s="72" t="n"/>
      <c r="W678" s="72" t="n"/>
      <c r="X678" s="72" t="n"/>
    </row>
    <row r="679">
      <c r="A679" s="71" t="n"/>
      <c r="B679" s="71" t="n"/>
      <c r="C679" s="71" t="n"/>
      <c r="D679" s="71" t="n"/>
      <c r="E679" s="71" t="n"/>
      <c r="F679" s="46" t="n"/>
      <c r="G679" s="46" t="n"/>
      <c r="H679" s="71" t="n"/>
      <c r="I679" s="71" t="n"/>
      <c r="J679" s="71" t="n"/>
      <c r="K679" s="71" t="n"/>
      <c r="L679" s="71" t="n"/>
      <c r="M679" s="71" t="n"/>
      <c r="N679" s="71" t="n"/>
      <c r="O679" s="71" t="n"/>
      <c r="P679" s="71" t="n"/>
      <c r="Q679" s="71" t="n"/>
      <c r="R679" s="46" t="n"/>
      <c r="S679" s="46" t="n"/>
      <c r="T679" s="71" t="n"/>
      <c r="U679" s="71" t="n"/>
      <c r="V679" s="71" t="n"/>
      <c r="W679" s="71" t="n"/>
      <c r="X679" s="71" t="n"/>
    </row>
    <row r="680">
      <c r="A680" s="72" t="n"/>
      <c r="B680" s="72" t="n"/>
      <c r="C680" s="72" t="n"/>
      <c r="D680" s="72" t="n"/>
      <c r="E680" s="72" t="n"/>
      <c r="F680" s="73" t="n"/>
      <c r="G680" s="73" t="n"/>
      <c r="H680" s="72" t="n"/>
      <c r="I680" s="72" t="n"/>
      <c r="J680" s="72" t="n"/>
      <c r="K680" s="72" t="n"/>
      <c r="L680" s="72" t="n"/>
      <c r="M680" s="72" t="n"/>
      <c r="N680" s="72" t="n"/>
      <c r="O680" s="72" t="n"/>
      <c r="P680" s="72" t="n"/>
      <c r="Q680" s="72" t="n"/>
      <c r="R680" s="73" t="n"/>
      <c r="S680" s="73" t="n"/>
      <c r="T680" s="72" t="n"/>
      <c r="U680" s="72" t="n"/>
      <c r="V680" s="72" t="n"/>
      <c r="W680" s="72" t="n"/>
      <c r="X680" s="72" t="n"/>
    </row>
    <row r="681">
      <c r="A681" s="71" t="n"/>
      <c r="B681" s="71" t="n"/>
      <c r="C681" s="71" t="n"/>
      <c r="D681" s="71" t="n"/>
      <c r="E681" s="71" t="n"/>
      <c r="F681" s="46" t="n"/>
      <c r="G681" s="46" t="n"/>
      <c r="H681" s="71" t="n"/>
      <c r="I681" s="71" t="n"/>
      <c r="J681" s="71" t="n"/>
      <c r="K681" s="71" t="n"/>
      <c r="L681" s="71" t="n"/>
      <c r="M681" s="71" t="n"/>
      <c r="N681" s="71" t="n"/>
      <c r="O681" s="71" t="n"/>
      <c r="P681" s="71" t="n"/>
      <c r="Q681" s="71" t="n"/>
      <c r="R681" s="46" t="n"/>
      <c r="S681" s="46" t="n"/>
      <c r="T681" s="71" t="n"/>
      <c r="U681" s="71" t="n"/>
      <c r="V681" s="71" t="n"/>
      <c r="W681" s="71" t="n"/>
      <c r="X681" s="71" t="n"/>
    </row>
    <row r="682">
      <c r="A682" s="72" t="n"/>
      <c r="B682" s="72" t="n"/>
      <c r="C682" s="72" t="n"/>
      <c r="D682" s="72" t="n"/>
      <c r="E682" s="72" t="n"/>
      <c r="F682" s="73" t="n"/>
      <c r="G682" s="73" t="n"/>
      <c r="H682" s="72" t="n"/>
      <c r="I682" s="72" t="n"/>
      <c r="J682" s="72" t="n"/>
      <c r="K682" s="72" t="n"/>
      <c r="L682" s="72" t="n"/>
      <c r="M682" s="72" t="n"/>
      <c r="N682" s="72" t="n"/>
      <c r="O682" s="72" t="n"/>
      <c r="P682" s="72" t="n"/>
      <c r="Q682" s="72" t="n"/>
      <c r="R682" s="73" t="n"/>
      <c r="S682" s="73" t="n"/>
      <c r="T682" s="72" t="n"/>
      <c r="U682" s="72" t="n"/>
      <c r="V682" s="72" t="n"/>
      <c r="W682" s="72" t="n"/>
      <c r="X682" s="72" t="n"/>
    </row>
    <row r="683">
      <c r="A683" s="71" t="n"/>
      <c r="B683" s="71" t="n"/>
      <c r="C683" s="71" t="n"/>
      <c r="D683" s="71" t="n"/>
      <c r="E683" s="71" t="n"/>
      <c r="F683" s="46" t="n"/>
      <c r="G683" s="46" t="n"/>
      <c r="H683" s="71" t="n"/>
      <c r="I683" s="71" t="n"/>
      <c r="J683" s="71" t="n"/>
      <c r="K683" s="71" t="n"/>
      <c r="L683" s="71" t="n"/>
      <c r="M683" s="71" t="n"/>
      <c r="N683" s="71" t="n"/>
      <c r="O683" s="71" t="n"/>
      <c r="P683" s="71" t="n"/>
      <c r="Q683" s="71" t="n"/>
      <c r="R683" s="46" t="n"/>
      <c r="S683" s="46" t="n"/>
      <c r="T683" s="71" t="n"/>
      <c r="U683" s="71" t="n"/>
      <c r="V683" s="71" t="n"/>
      <c r="W683" s="71" t="n"/>
      <c r="X683" s="71" t="n"/>
    </row>
    <row r="684">
      <c r="A684" s="72" t="n"/>
      <c r="B684" s="72" t="n"/>
      <c r="C684" s="72" t="n"/>
      <c r="D684" s="72" t="n"/>
      <c r="E684" s="72" t="n"/>
      <c r="F684" s="73" t="n"/>
      <c r="G684" s="73" t="n"/>
      <c r="H684" s="72" t="n"/>
      <c r="I684" s="72" t="n"/>
      <c r="J684" s="72" t="n"/>
      <c r="K684" s="72" t="n"/>
      <c r="L684" s="72" t="n"/>
      <c r="M684" s="72" t="n"/>
      <c r="N684" s="72" t="n"/>
      <c r="O684" s="72" t="n"/>
      <c r="P684" s="72" t="n"/>
      <c r="Q684" s="72" t="n"/>
      <c r="R684" s="73" t="n"/>
      <c r="S684" s="73" t="n"/>
      <c r="T684" s="72" t="n"/>
      <c r="U684" s="72" t="n"/>
      <c r="V684" s="72" t="n"/>
      <c r="W684" s="72" t="n"/>
      <c r="X684" s="72" t="n"/>
    </row>
    <row r="685">
      <c r="A685" s="71" t="n"/>
      <c r="B685" s="71" t="n"/>
      <c r="C685" s="71" t="n"/>
      <c r="D685" s="71" t="n"/>
      <c r="E685" s="71" t="n"/>
      <c r="F685" s="46" t="n"/>
      <c r="G685" s="46" t="n"/>
      <c r="H685" s="71" t="n"/>
      <c r="I685" s="71" t="n"/>
      <c r="J685" s="71" t="n"/>
      <c r="K685" s="71" t="n"/>
      <c r="L685" s="71" t="n"/>
      <c r="M685" s="71" t="n"/>
      <c r="N685" s="71" t="n"/>
      <c r="O685" s="71" t="n"/>
      <c r="P685" s="71" t="n"/>
      <c r="Q685" s="71" t="n"/>
      <c r="R685" s="46" t="n"/>
      <c r="S685" s="46" t="n"/>
      <c r="T685" s="71" t="n"/>
      <c r="U685" s="71" t="n"/>
      <c r="V685" s="71" t="n"/>
      <c r="W685" s="71" t="n"/>
      <c r="X685" s="71" t="n"/>
    </row>
    <row r="686">
      <c r="A686" s="72" t="n"/>
      <c r="B686" s="72" t="n"/>
      <c r="C686" s="72" t="n"/>
      <c r="D686" s="72" t="n"/>
      <c r="E686" s="72" t="n"/>
      <c r="F686" s="73" t="n"/>
      <c r="G686" s="73" t="n"/>
      <c r="H686" s="72" t="n"/>
      <c r="I686" s="72" t="n"/>
      <c r="J686" s="72" t="n"/>
      <c r="K686" s="72" t="n"/>
      <c r="L686" s="72" t="n"/>
      <c r="M686" s="72" t="n"/>
      <c r="N686" s="72" t="n"/>
      <c r="O686" s="72" t="n"/>
      <c r="P686" s="72" t="n"/>
      <c r="Q686" s="72" t="n"/>
      <c r="R686" s="73" t="n"/>
      <c r="S686" s="73" t="n"/>
      <c r="T686" s="72" t="n"/>
      <c r="U686" s="72" t="n"/>
      <c r="V686" s="72" t="n"/>
      <c r="W686" s="72" t="n"/>
      <c r="X686" s="72" t="n"/>
    </row>
    <row r="687">
      <c r="A687" s="71" t="n"/>
      <c r="B687" s="71" t="n"/>
      <c r="C687" s="71" t="n"/>
      <c r="D687" s="71" t="n"/>
      <c r="E687" s="71" t="n"/>
      <c r="F687" s="46" t="n"/>
      <c r="G687" s="46" t="n"/>
      <c r="H687" s="71" t="n"/>
      <c r="I687" s="71" t="n"/>
      <c r="J687" s="71" t="n"/>
      <c r="K687" s="71" t="n"/>
      <c r="L687" s="71" t="n"/>
      <c r="M687" s="71" t="n"/>
      <c r="N687" s="71" t="n"/>
      <c r="O687" s="71" t="n"/>
      <c r="P687" s="71" t="n"/>
      <c r="Q687" s="71" t="n"/>
      <c r="R687" s="46" t="n"/>
      <c r="S687" s="46" t="n"/>
      <c r="T687" s="71" t="n"/>
      <c r="U687" s="71" t="n"/>
      <c r="V687" s="71" t="n"/>
      <c r="W687" s="71" t="n"/>
      <c r="X687" s="71" t="n"/>
    </row>
    <row r="688">
      <c r="A688" s="72" t="n"/>
      <c r="B688" s="72" t="n"/>
      <c r="C688" s="72" t="n"/>
      <c r="D688" s="72" t="n"/>
      <c r="E688" s="72" t="n"/>
      <c r="F688" s="73" t="n"/>
      <c r="G688" s="73" t="n"/>
      <c r="H688" s="72" t="n"/>
      <c r="I688" s="72" t="n"/>
      <c r="J688" s="72" t="n"/>
      <c r="K688" s="72" t="n"/>
      <c r="L688" s="72" t="n"/>
      <c r="M688" s="72" t="n"/>
      <c r="N688" s="72" t="n"/>
      <c r="O688" s="72" t="n"/>
      <c r="P688" s="72" t="n"/>
      <c r="Q688" s="72" t="n"/>
      <c r="R688" s="73" t="n"/>
      <c r="S688" s="73" t="n"/>
      <c r="T688" s="72" t="n"/>
      <c r="U688" s="72" t="n"/>
      <c r="V688" s="72" t="n"/>
      <c r="W688" s="72" t="n"/>
      <c r="X688" s="72" t="n"/>
    </row>
    <row r="689">
      <c r="A689" s="71" t="n"/>
      <c r="B689" s="71" t="n"/>
      <c r="C689" s="71" t="n"/>
      <c r="D689" s="71" t="n"/>
      <c r="E689" s="71" t="n"/>
      <c r="F689" s="46" t="n"/>
      <c r="G689" s="46" t="n"/>
      <c r="H689" s="71" t="n"/>
      <c r="I689" s="71" t="n"/>
      <c r="J689" s="71" t="n"/>
      <c r="K689" s="71" t="n"/>
      <c r="L689" s="71" t="n"/>
      <c r="M689" s="71" t="n"/>
      <c r="N689" s="71" t="n"/>
      <c r="O689" s="71" t="n"/>
      <c r="P689" s="71" t="n"/>
      <c r="Q689" s="71" t="n"/>
      <c r="R689" s="46" t="n"/>
      <c r="S689" s="46" t="n"/>
      <c r="T689" s="71" t="n"/>
      <c r="U689" s="71" t="n"/>
      <c r="V689" s="71" t="n"/>
      <c r="W689" s="71" t="n"/>
      <c r="X689" s="71" t="n"/>
    </row>
    <row r="690">
      <c r="A690" s="72" t="n"/>
      <c r="B690" s="72" t="n"/>
      <c r="C690" s="72" t="n"/>
      <c r="D690" s="72" t="n"/>
      <c r="E690" s="72" t="n"/>
      <c r="F690" s="73" t="n"/>
      <c r="G690" s="73" t="n"/>
      <c r="H690" s="72" t="n"/>
      <c r="I690" s="72" t="n"/>
      <c r="J690" s="72" t="n"/>
      <c r="K690" s="72" t="n"/>
      <c r="L690" s="72" t="n"/>
      <c r="M690" s="72" t="n"/>
      <c r="N690" s="72" t="n"/>
      <c r="O690" s="72" t="n"/>
      <c r="P690" s="72" t="n"/>
      <c r="Q690" s="72" t="n"/>
      <c r="R690" s="73" t="n"/>
      <c r="S690" s="73" t="n"/>
      <c r="T690" s="72" t="n"/>
      <c r="U690" s="72" t="n"/>
      <c r="V690" s="72" t="n"/>
      <c r="W690" s="72" t="n"/>
      <c r="X690" s="72" t="n"/>
    </row>
    <row r="691">
      <c r="A691" s="71" t="n"/>
      <c r="B691" s="71" t="n"/>
      <c r="C691" s="71" t="n"/>
      <c r="D691" s="71" t="n"/>
      <c r="E691" s="71" t="n"/>
      <c r="F691" s="46" t="n"/>
      <c r="G691" s="46" t="n"/>
      <c r="H691" s="71" t="n"/>
      <c r="I691" s="71" t="n"/>
      <c r="J691" s="71" t="n"/>
      <c r="K691" s="71" t="n"/>
      <c r="L691" s="71" t="n"/>
      <c r="M691" s="71" t="n"/>
      <c r="N691" s="71" t="n"/>
      <c r="O691" s="71" t="n"/>
      <c r="P691" s="71" t="n"/>
      <c r="Q691" s="71" t="n"/>
      <c r="R691" s="46" t="n"/>
      <c r="S691" s="46" t="n"/>
      <c r="T691" s="71" t="n"/>
      <c r="U691" s="71" t="n"/>
      <c r="V691" s="71" t="n"/>
      <c r="W691" s="71" t="n"/>
      <c r="X691" s="71" t="n"/>
    </row>
    <row r="692">
      <c r="A692" s="72" t="n"/>
      <c r="B692" s="72" t="n"/>
      <c r="C692" s="72" t="n"/>
      <c r="D692" s="72" t="n"/>
      <c r="E692" s="72" t="n"/>
      <c r="F692" s="73" t="n"/>
      <c r="G692" s="73" t="n"/>
      <c r="H692" s="72" t="n"/>
      <c r="I692" s="72" t="n"/>
      <c r="J692" s="72" t="n"/>
      <c r="K692" s="72" t="n"/>
      <c r="L692" s="72" t="n"/>
      <c r="M692" s="72" t="n"/>
      <c r="N692" s="72" t="n"/>
      <c r="O692" s="72" t="n"/>
      <c r="P692" s="72" t="n"/>
      <c r="Q692" s="72" t="n"/>
      <c r="R692" s="73" t="n"/>
      <c r="S692" s="73" t="n"/>
      <c r="T692" s="72" t="n"/>
      <c r="U692" s="72" t="n"/>
      <c r="V692" s="72" t="n"/>
      <c r="W692" s="72" t="n"/>
      <c r="X692" s="72" t="n"/>
    </row>
    <row r="693">
      <c r="A693" s="71" t="n"/>
      <c r="B693" s="71" t="n"/>
      <c r="C693" s="71" t="n"/>
      <c r="D693" s="71" t="n"/>
      <c r="E693" s="71" t="n"/>
      <c r="F693" s="46" t="n"/>
      <c r="G693" s="46" t="n"/>
      <c r="H693" s="71" t="n"/>
      <c r="I693" s="71" t="n"/>
      <c r="J693" s="71" t="n"/>
      <c r="K693" s="71" t="n"/>
      <c r="L693" s="71" t="n"/>
      <c r="M693" s="71" t="n"/>
      <c r="N693" s="71" t="n"/>
      <c r="O693" s="71" t="n"/>
      <c r="P693" s="71" t="n"/>
      <c r="Q693" s="71" t="n"/>
      <c r="R693" s="46" t="n"/>
      <c r="S693" s="46" t="n"/>
      <c r="T693" s="71" t="n"/>
      <c r="U693" s="71" t="n"/>
      <c r="V693" s="71" t="n"/>
      <c r="W693" s="71" t="n"/>
      <c r="X693" s="71" t="n"/>
    </row>
    <row r="694">
      <c r="A694" s="72" t="n"/>
      <c r="B694" s="72" t="n"/>
      <c r="C694" s="72" t="n"/>
      <c r="D694" s="72" t="n"/>
      <c r="E694" s="72" t="n"/>
      <c r="F694" s="73" t="n"/>
      <c r="G694" s="73" t="n"/>
      <c r="H694" s="72" t="n"/>
      <c r="I694" s="72" t="n"/>
      <c r="J694" s="72" t="n"/>
      <c r="K694" s="72" t="n"/>
      <c r="L694" s="72" t="n"/>
      <c r="M694" s="72" t="n"/>
      <c r="N694" s="72" t="n"/>
      <c r="O694" s="72" t="n"/>
      <c r="P694" s="72" t="n"/>
      <c r="Q694" s="72" t="n"/>
      <c r="R694" s="73" t="n"/>
      <c r="S694" s="73" t="n"/>
      <c r="T694" s="72" t="n"/>
      <c r="U694" s="72" t="n"/>
      <c r="V694" s="72" t="n"/>
      <c r="W694" s="72" t="n"/>
      <c r="X694" s="72" t="n"/>
    </row>
    <row r="695">
      <c r="A695" s="71" t="n"/>
      <c r="B695" s="71" t="n"/>
      <c r="C695" s="71" t="n"/>
      <c r="D695" s="71" t="n"/>
      <c r="E695" s="71" t="n"/>
      <c r="F695" s="46" t="n"/>
      <c r="G695" s="46" t="n"/>
      <c r="H695" s="71" t="n"/>
      <c r="I695" s="71" t="n"/>
      <c r="J695" s="71" t="n"/>
      <c r="K695" s="71" t="n"/>
      <c r="L695" s="71" t="n"/>
      <c r="M695" s="71" t="n"/>
      <c r="N695" s="71" t="n"/>
      <c r="O695" s="71" t="n"/>
      <c r="P695" s="71" t="n"/>
      <c r="Q695" s="71" t="n"/>
      <c r="R695" s="46" t="n"/>
      <c r="S695" s="46" t="n"/>
      <c r="T695" s="71" t="n"/>
      <c r="U695" s="71" t="n"/>
      <c r="V695" s="71" t="n"/>
      <c r="W695" s="71" t="n"/>
      <c r="X695" s="71" t="n"/>
    </row>
    <row r="696">
      <c r="A696" s="72" t="n"/>
      <c r="B696" s="72" t="n"/>
      <c r="C696" s="72" t="n"/>
      <c r="D696" s="72" t="n"/>
      <c r="E696" s="72" t="n"/>
      <c r="F696" s="73" t="n"/>
      <c r="G696" s="73" t="n"/>
      <c r="H696" s="72" t="n"/>
      <c r="I696" s="72" t="n"/>
      <c r="J696" s="72" t="n"/>
      <c r="K696" s="72" t="n"/>
      <c r="L696" s="72" t="n"/>
      <c r="M696" s="72" t="n"/>
      <c r="N696" s="72" t="n"/>
      <c r="O696" s="72" t="n"/>
      <c r="P696" s="72" t="n"/>
      <c r="Q696" s="72" t="n"/>
      <c r="R696" s="73" t="n"/>
      <c r="S696" s="73" t="n"/>
      <c r="T696" s="72" t="n"/>
      <c r="U696" s="72" t="n"/>
      <c r="V696" s="72" t="n"/>
      <c r="W696" s="72" t="n"/>
      <c r="X696" s="72" t="n"/>
    </row>
    <row r="697">
      <c r="A697" s="71" t="n"/>
      <c r="B697" s="71" t="n"/>
      <c r="C697" s="71" t="n"/>
      <c r="D697" s="71" t="n"/>
      <c r="E697" s="71" t="n"/>
      <c r="F697" s="46" t="n"/>
      <c r="G697" s="46" t="n"/>
      <c r="H697" s="71" t="n"/>
      <c r="I697" s="71" t="n"/>
      <c r="J697" s="71" t="n"/>
      <c r="K697" s="71" t="n"/>
      <c r="L697" s="71" t="n"/>
      <c r="M697" s="71" t="n"/>
      <c r="N697" s="71" t="n"/>
      <c r="O697" s="71" t="n"/>
      <c r="P697" s="71" t="n"/>
      <c r="Q697" s="71" t="n"/>
      <c r="R697" s="46" t="n"/>
      <c r="S697" s="46" t="n"/>
      <c r="T697" s="71" t="n"/>
      <c r="U697" s="71" t="n"/>
      <c r="V697" s="71" t="n"/>
      <c r="W697" s="71" t="n"/>
      <c r="X697" s="71" t="n"/>
    </row>
    <row r="698">
      <c r="A698" s="72" t="n"/>
      <c r="B698" s="72" t="n"/>
      <c r="C698" s="72" t="n"/>
      <c r="D698" s="72" t="n"/>
      <c r="E698" s="72" t="n"/>
      <c r="F698" s="73" t="n"/>
      <c r="G698" s="73" t="n"/>
      <c r="H698" s="72" t="n"/>
      <c r="I698" s="72" t="n"/>
      <c r="J698" s="72" t="n"/>
      <c r="K698" s="72" t="n"/>
      <c r="L698" s="72" t="n"/>
      <c r="M698" s="72" t="n"/>
      <c r="N698" s="72" t="n"/>
      <c r="O698" s="72" t="n"/>
      <c r="P698" s="72" t="n"/>
      <c r="Q698" s="72" t="n"/>
      <c r="R698" s="73" t="n"/>
      <c r="S698" s="73" t="n"/>
      <c r="T698" s="72" t="n"/>
      <c r="U698" s="72" t="n"/>
      <c r="V698" s="72" t="n"/>
      <c r="W698" s="72" t="n"/>
      <c r="X698" s="72" t="n"/>
    </row>
    <row r="699">
      <c r="A699" s="71" t="n"/>
      <c r="B699" s="71" t="n"/>
      <c r="C699" s="71" t="n"/>
      <c r="D699" s="71" t="n"/>
      <c r="E699" s="71" t="n"/>
      <c r="F699" s="46" t="n"/>
      <c r="G699" s="46" t="n"/>
      <c r="H699" s="71" t="n"/>
      <c r="I699" s="71" t="n"/>
      <c r="J699" s="71" t="n"/>
      <c r="K699" s="71" t="n"/>
      <c r="L699" s="71" t="n"/>
      <c r="M699" s="71" t="n"/>
      <c r="N699" s="71" t="n"/>
      <c r="O699" s="71" t="n"/>
      <c r="P699" s="71" t="n"/>
      <c r="Q699" s="71" t="n"/>
      <c r="R699" s="46" t="n"/>
      <c r="S699" s="46" t="n"/>
      <c r="T699" s="71" t="n"/>
      <c r="U699" s="71" t="n"/>
      <c r="V699" s="71" t="n"/>
      <c r="W699" s="71" t="n"/>
      <c r="X699" s="71" t="n"/>
    </row>
    <row r="700">
      <c r="A700" s="72" t="n"/>
      <c r="B700" s="72" t="n"/>
      <c r="C700" s="72" t="n"/>
      <c r="D700" s="72" t="n"/>
      <c r="E700" s="72" t="n"/>
      <c r="F700" s="73" t="n"/>
      <c r="G700" s="73" t="n"/>
      <c r="H700" s="72" t="n"/>
      <c r="I700" s="72" t="n"/>
      <c r="J700" s="72" t="n"/>
      <c r="K700" s="72" t="n"/>
      <c r="L700" s="72" t="n"/>
      <c r="M700" s="72" t="n"/>
      <c r="N700" s="72" t="n"/>
      <c r="O700" s="72" t="n"/>
      <c r="P700" s="72" t="n"/>
      <c r="Q700" s="72" t="n"/>
      <c r="R700" s="73" t="n"/>
      <c r="S700" s="73" t="n"/>
      <c r="T700" s="72" t="n"/>
      <c r="U700" s="72" t="n"/>
      <c r="V700" s="72" t="n"/>
      <c r="W700" s="72" t="n"/>
      <c r="X700" s="72" t="n"/>
    </row>
    <row r="701">
      <c r="A701" s="71" t="n"/>
      <c r="B701" s="71" t="n"/>
      <c r="C701" s="71" t="n"/>
      <c r="D701" s="71" t="n"/>
      <c r="E701" s="71" t="n"/>
      <c r="F701" s="46" t="n"/>
      <c r="G701" s="46" t="n"/>
      <c r="H701" s="71" t="n"/>
      <c r="I701" s="71" t="n"/>
      <c r="J701" s="71" t="n"/>
      <c r="K701" s="71" t="n"/>
      <c r="L701" s="71" t="n"/>
      <c r="M701" s="71" t="n"/>
      <c r="N701" s="71" t="n"/>
      <c r="O701" s="71" t="n"/>
      <c r="P701" s="71" t="n"/>
      <c r="Q701" s="71" t="n"/>
      <c r="R701" s="46" t="n"/>
      <c r="S701" s="46" t="n"/>
      <c r="T701" s="71" t="n"/>
      <c r="U701" s="71" t="n"/>
      <c r="V701" s="71" t="n"/>
      <c r="W701" s="71" t="n"/>
      <c r="X701" s="71" t="n"/>
    </row>
    <row r="702">
      <c r="A702" s="72" t="n"/>
      <c r="B702" s="72" t="n"/>
      <c r="C702" s="72" t="n"/>
      <c r="D702" s="72" t="n"/>
      <c r="E702" s="72" t="n"/>
      <c r="F702" s="73" t="n"/>
      <c r="G702" s="73" t="n"/>
      <c r="H702" s="72" t="n"/>
      <c r="I702" s="72" t="n"/>
      <c r="J702" s="72" t="n"/>
      <c r="K702" s="72" t="n"/>
      <c r="L702" s="72" t="n"/>
      <c r="M702" s="72" t="n"/>
      <c r="N702" s="72" t="n"/>
      <c r="O702" s="72" t="n"/>
      <c r="P702" s="72" t="n"/>
      <c r="Q702" s="72" t="n"/>
      <c r="R702" s="73" t="n"/>
      <c r="S702" s="73" t="n"/>
      <c r="T702" s="72" t="n"/>
      <c r="U702" s="72" t="n"/>
      <c r="V702" s="72" t="n"/>
      <c r="W702" s="72" t="n"/>
      <c r="X702" s="72" t="n"/>
    </row>
    <row r="703">
      <c r="A703" s="71" t="n"/>
      <c r="B703" s="71" t="n"/>
      <c r="C703" s="71" t="n"/>
      <c r="D703" s="71" t="n"/>
      <c r="E703" s="71" t="n"/>
      <c r="F703" s="46" t="n"/>
      <c r="G703" s="46" t="n"/>
      <c r="H703" s="71" t="n"/>
      <c r="I703" s="71" t="n"/>
      <c r="J703" s="71" t="n"/>
      <c r="K703" s="71" t="n"/>
      <c r="L703" s="71" t="n"/>
      <c r="M703" s="71" t="n"/>
      <c r="N703" s="71" t="n"/>
      <c r="O703" s="71" t="n"/>
      <c r="P703" s="71" t="n"/>
      <c r="Q703" s="71" t="n"/>
      <c r="R703" s="46" t="n"/>
      <c r="S703" s="46" t="n"/>
      <c r="T703" s="71" t="n"/>
      <c r="U703" s="71" t="n"/>
      <c r="V703" s="71" t="n"/>
      <c r="W703" s="71" t="n"/>
      <c r="X703" s="71" t="n"/>
    </row>
    <row r="704">
      <c r="A704" s="72" t="n"/>
      <c r="B704" s="72" t="n"/>
      <c r="C704" s="72" t="n"/>
      <c r="D704" s="72" t="n"/>
      <c r="E704" s="72" t="n"/>
      <c r="F704" s="73" t="n"/>
      <c r="G704" s="73" t="n"/>
      <c r="H704" s="72" t="n"/>
      <c r="I704" s="72" t="n"/>
      <c r="J704" s="72" t="n"/>
      <c r="K704" s="72" t="n"/>
      <c r="L704" s="72" t="n"/>
      <c r="M704" s="72" t="n"/>
      <c r="N704" s="72" t="n"/>
      <c r="O704" s="72" t="n"/>
      <c r="P704" s="72" t="n"/>
      <c r="Q704" s="72" t="n"/>
      <c r="R704" s="73" t="n"/>
      <c r="S704" s="73" t="n"/>
      <c r="T704" s="72" t="n"/>
      <c r="U704" s="72" t="n"/>
      <c r="V704" s="72" t="n"/>
      <c r="W704" s="72" t="n"/>
      <c r="X704" s="72" t="n"/>
    </row>
    <row r="705">
      <c r="A705" s="71" t="n"/>
      <c r="B705" s="71" t="n"/>
      <c r="C705" s="71" t="n"/>
      <c r="D705" s="71" t="n"/>
      <c r="E705" s="71" t="n"/>
      <c r="F705" s="46" t="n"/>
      <c r="G705" s="46" t="n"/>
      <c r="H705" s="71" t="n"/>
      <c r="I705" s="71" t="n"/>
      <c r="J705" s="71" t="n"/>
      <c r="K705" s="71" t="n"/>
      <c r="L705" s="71" t="n"/>
      <c r="M705" s="71" t="n"/>
      <c r="N705" s="71" t="n"/>
      <c r="O705" s="71" t="n"/>
      <c r="P705" s="71" t="n"/>
      <c r="Q705" s="71" t="n"/>
      <c r="R705" s="46" t="n"/>
      <c r="S705" s="46" t="n"/>
      <c r="T705" s="71" t="n"/>
      <c r="U705" s="71" t="n"/>
      <c r="V705" s="71" t="n"/>
      <c r="W705" s="71" t="n"/>
      <c r="X705" s="71" t="n"/>
    </row>
    <row r="706">
      <c r="A706" s="72" t="n"/>
      <c r="B706" s="72" t="n"/>
      <c r="C706" s="72" t="n"/>
      <c r="D706" s="72" t="n"/>
      <c r="E706" s="72" t="n"/>
      <c r="F706" s="73" t="n"/>
      <c r="G706" s="73" t="n"/>
      <c r="H706" s="72" t="n"/>
      <c r="I706" s="72" t="n"/>
      <c r="J706" s="72" t="n"/>
      <c r="K706" s="72" t="n"/>
      <c r="L706" s="72" t="n"/>
      <c r="M706" s="72" t="n"/>
      <c r="N706" s="72" t="n"/>
      <c r="O706" s="72" t="n"/>
      <c r="P706" s="72" t="n"/>
      <c r="Q706" s="72" t="n"/>
      <c r="R706" s="73" t="n"/>
      <c r="S706" s="73" t="n"/>
      <c r="T706" s="72" t="n"/>
      <c r="U706" s="72" t="n"/>
      <c r="V706" s="72" t="n"/>
      <c r="W706" s="72" t="n"/>
      <c r="X706" s="72" t="n"/>
    </row>
    <row r="707">
      <c r="A707" s="71" t="n"/>
      <c r="B707" s="71" t="n"/>
      <c r="C707" s="71" t="n"/>
      <c r="D707" s="71" t="n"/>
      <c r="E707" s="71" t="n"/>
      <c r="F707" s="46" t="n"/>
      <c r="G707" s="46" t="n"/>
      <c r="H707" s="71" t="n"/>
      <c r="I707" s="71" t="n"/>
      <c r="J707" s="71" t="n"/>
      <c r="K707" s="71" t="n"/>
      <c r="L707" s="71" t="n"/>
      <c r="M707" s="71" t="n"/>
      <c r="N707" s="71" t="n"/>
      <c r="O707" s="71" t="n"/>
      <c r="P707" s="71" t="n"/>
      <c r="Q707" s="71" t="n"/>
      <c r="R707" s="46" t="n"/>
      <c r="S707" s="46" t="n"/>
      <c r="T707" s="71" t="n"/>
      <c r="U707" s="71" t="n"/>
      <c r="V707" s="71" t="n"/>
      <c r="W707" s="71" t="n"/>
      <c r="X707" s="71" t="n"/>
    </row>
    <row r="708">
      <c r="A708" s="72" t="n"/>
      <c r="B708" s="72" t="n"/>
      <c r="C708" s="72" t="n"/>
      <c r="D708" s="72" t="n"/>
      <c r="E708" s="72" t="n"/>
      <c r="F708" s="73" t="n"/>
      <c r="G708" s="73" t="n"/>
      <c r="H708" s="72" t="n"/>
      <c r="I708" s="72" t="n"/>
      <c r="J708" s="72" t="n"/>
      <c r="K708" s="72" t="n"/>
      <c r="L708" s="72" t="n"/>
      <c r="M708" s="72" t="n"/>
      <c r="N708" s="72" t="n"/>
      <c r="O708" s="72" t="n"/>
      <c r="P708" s="72" t="n"/>
      <c r="Q708" s="72" t="n"/>
      <c r="R708" s="73" t="n"/>
      <c r="S708" s="73" t="n"/>
      <c r="T708" s="72" t="n"/>
      <c r="U708" s="72" t="n"/>
      <c r="V708" s="72" t="n"/>
      <c r="W708" s="72" t="n"/>
      <c r="X708" s="72" t="n"/>
    </row>
    <row r="709">
      <c r="A709" s="71" t="n"/>
      <c r="B709" s="71" t="n"/>
      <c r="C709" s="71" t="n"/>
      <c r="D709" s="71" t="n"/>
      <c r="E709" s="71" t="n"/>
      <c r="F709" s="46" t="n"/>
      <c r="G709" s="46" t="n"/>
      <c r="H709" s="71" t="n"/>
      <c r="I709" s="71" t="n"/>
      <c r="J709" s="71" t="n"/>
      <c r="K709" s="71" t="n"/>
      <c r="L709" s="71" t="n"/>
      <c r="M709" s="71" t="n"/>
      <c r="N709" s="71" t="n"/>
      <c r="O709" s="71" t="n"/>
      <c r="P709" s="71" t="n"/>
      <c r="Q709" s="71" t="n"/>
      <c r="R709" s="46" t="n"/>
      <c r="S709" s="46" t="n"/>
      <c r="T709" s="71" t="n"/>
      <c r="U709" s="71" t="n"/>
      <c r="V709" s="71" t="n"/>
      <c r="W709" s="71" t="n"/>
      <c r="X709" s="71" t="n"/>
    </row>
    <row r="710">
      <c r="A710" s="72" t="n"/>
      <c r="B710" s="72" t="n"/>
      <c r="C710" s="72" t="n"/>
      <c r="D710" s="72" t="n"/>
      <c r="E710" s="72" t="n"/>
      <c r="F710" s="73" t="n"/>
      <c r="G710" s="73" t="n"/>
      <c r="H710" s="72" t="n"/>
      <c r="I710" s="72" t="n"/>
      <c r="J710" s="72" t="n"/>
      <c r="K710" s="72" t="n"/>
      <c r="L710" s="72" t="n"/>
      <c r="M710" s="72" t="n"/>
      <c r="N710" s="72" t="n"/>
      <c r="O710" s="72" t="n"/>
      <c r="P710" s="72" t="n"/>
      <c r="Q710" s="72" t="n"/>
      <c r="R710" s="73" t="n"/>
      <c r="S710" s="73" t="n"/>
      <c r="T710" s="72" t="n"/>
      <c r="U710" s="72" t="n"/>
      <c r="V710" s="72" t="n"/>
      <c r="W710" s="72" t="n"/>
      <c r="X710" s="72" t="n"/>
    </row>
    <row r="711">
      <c r="A711" s="71" t="n"/>
      <c r="B711" s="71" t="n"/>
      <c r="C711" s="71" t="n"/>
      <c r="D711" s="71" t="n"/>
      <c r="E711" s="71" t="n"/>
      <c r="F711" s="46" t="n"/>
      <c r="G711" s="46" t="n"/>
      <c r="H711" s="71" t="n"/>
      <c r="I711" s="71" t="n"/>
      <c r="J711" s="71" t="n"/>
      <c r="K711" s="71" t="n"/>
      <c r="L711" s="71" t="n"/>
      <c r="M711" s="71" t="n"/>
      <c r="N711" s="71" t="n"/>
      <c r="O711" s="71" t="n"/>
      <c r="P711" s="71" t="n"/>
      <c r="Q711" s="71" t="n"/>
      <c r="R711" s="46" t="n"/>
      <c r="S711" s="46" t="n"/>
      <c r="T711" s="71" t="n"/>
      <c r="U711" s="71" t="n"/>
      <c r="V711" s="71" t="n"/>
      <c r="W711" s="71" t="n"/>
      <c r="X711" s="71" t="n"/>
    </row>
    <row r="712">
      <c r="A712" s="72" t="n"/>
      <c r="B712" s="72" t="n"/>
      <c r="C712" s="72" t="n"/>
      <c r="D712" s="72" t="n"/>
      <c r="E712" s="72" t="n"/>
      <c r="F712" s="73" t="n"/>
      <c r="G712" s="73" t="n"/>
      <c r="H712" s="72" t="n"/>
      <c r="I712" s="72" t="n"/>
      <c r="J712" s="72" t="n"/>
      <c r="K712" s="72" t="n"/>
      <c r="L712" s="72" t="n"/>
      <c r="M712" s="72" t="n"/>
      <c r="N712" s="72" t="n"/>
      <c r="O712" s="72" t="n"/>
      <c r="P712" s="72" t="n"/>
      <c r="Q712" s="72" t="n"/>
      <c r="R712" s="73" t="n"/>
      <c r="S712" s="73" t="n"/>
      <c r="T712" s="72" t="n"/>
      <c r="U712" s="72" t="n"/>
      <c r="V712" s="72" t="n"/>
      <c r="W712" s="72" t="n"/>
      <c r="X712" s="72" t="n"/>
    </row>
    <row r="713">
      <c r="A713" s="71" t="n"/>
      <c r="B713" s="71" t="n"/>
      <c r="C713" s="71" t="n"/>
      <c r="D713" s="71" t="n"/>
      <c r="E713" s="71" t="n"/>
      <c r="F713" s="46" t="n"/>
      <c r="G713" s="46" t="n"/>
      <c r="H713" s="71" t="n"/>
      <c r="I713" s="71" t="n"/>
      <c r="J713" s="71" t="n"/>
      <c r="K713" s="71" t="n"/>
      <c r="L713" s="71" t="n"/>
      <c r="M713" s="71" t="n"/>
      <c r="N713" s="71" t="n"/>
      <c r="O713" s="71" t="n"/>
      <c r="P713" s="71" t="n"/>
      <c r="Q713" s="71" t="n"/>
      <c r="R713" s="46" t="n"/>
      <c r="S713" s="46" t="n"/>
      <c r="T713" s="71" t="n"/>
      <c r="U713" s="71" t="n"/>
      <c r="V713" s="71" t="n"/>
      <c r="W713" s="71" t="n"/>
      <c r="X713" s="71" t="n"/>
    </row>
    <row r="714">
      <c r="A714" s="72" t="n"/>
      <c r="B714" s="72" t="n"/>
      <c r="C714" s="72" t="n"/>
      <c r="D714" s="72" t="n"/>
      <c r="E714" s="72" t="n"/>
      <c r="F714" s="73" t="n"/>
      <c r="G714" s="73" t="n"/>
      <c r="H714" s="72" t="n"/>
      <c r="I714" s="72" t="n"/>
      <c r="J714" s="72" t="n"/>
      <c r="K714" s="72" t="n"/>
      <c r="L714" s="72" t="n"/>
      <c r="M714" s="72" t="n"/>
      <c r="N714" s="72" t="n"/>
      <c r="O714" s="72" t="n"/>
      <c r="P714" s="72" t="n"/>
      <c r="Q714" s="72" t="n"/>
      <c r="R714" s="73" t="n"/>
      <c r="S714" s="73" t="n"/>
      <c r="T714" s="72" t="n"/>
      <c r="U714" s="72" t="n"/>
      <c r="V714" s="72" t="n"/>
      <c r="W714" s="72" t="n"/>
      <c r="X714" s="72" t="n"/>
    </row>
    <row r="715">
      <c r="A715" s="71" t="n"/>
      <c r="B715" s="71" t="n"/>
      <c r="C715" s="71" t="n"/>
      <c r="D715" s="71" t="n"/>
      <c r="E715" s="71" t="n"/>
      <c r="F715" s="46" t="n"/>
      <c r="G715" s="46" t="n"/>
      <c r="H715" s="71" t="n"/>
      <c r="I715" s="71" t="n"/>
      <c r="J715" s="71" t="n"/>
      <c r="K715" s="71" t="n"/>
      <c r="L715" s="71" t="n"/>
      <c r="M715" s="71" t="n"/>
      <c r="N715" s="71" t="n"/>
      <c r="O715" s="71" t="n"/>
      <c r="P715" s="71" t="n"/>
      <c r="Q715" s="71" t="n"/>
      <c r="R715" s="46" t="n"/>
      <c r="S715" s="46" t="n"/>
      <c r="T715" s="71" t="n"/>
      <c r="U715" s="71" t="n"/>
      <c r="V715" s="71" t="n"/>
      <c r="W715" s="71" t="n"/>
      <c r="X715" s="71" t="n"/>
    </row>
    <row r="716">
      <c r="A716" s="72" t="n"/>
      <c r="B716" s="72" t="n"/>
      <c r="C716" s="72" t="n"/>
      <c r="D716" s="72" t="n"/>
      <c r="E716" s="72" t="n"/>
      <c r="F716" s="73" t="n"/>
      <c r="G716" s="73" t="n"/>
      <c r="H716" s="72" t="n"/>
      <c r="I716" s="72" t="n"/>
      <c r="J716" s="72" t="n"/>
      <c r="K716" s="72" t="n"/>
      <c r="L716" s="72" t="n"/>
      <c r="M716" s="72" t="n"/>
      <c r="N716" s="72" t="n"/>
      <c r="O716" s="72" t="n"/>
      <c r="P716" s="72" t="n"/>
      <c r="Q716" s="72" t="n"/>
      <c r="R716" s="73" t="n"/>
      <c r="S716" s="73" t="n"/>
      <c r="T716" s="72" t="n"/>
      <c r="U716" s="72" t="n"/>
      <c r="V716" s="72" t="n"/>
      <c r="W716" s="72" t="n"/>
      <c r="X716" s="72" t="n"/>
    </row>
    <row r="717">
      <c r="A717" s="71" t="n"/>
      <c r="B717" s="71" t="n"/>
      <c r="C717" s="71" t="n"/>
      <c r="D717" s="71" t="n"/>
      <c r="E717" s="71" t="n"/>
      <c r="F717" s="46" t="n"/>
      <c r="G717" s="46" t="n"/>
      <c r="H717" s="71" t="n"/>
      <c r="I717" s="71" t="n"/>
      <c r="J717" s="71" t="n"/>
      <c r="K717" s="71" t="n"/>
      <c r="L717" s="71" t="n"/>
      <c r="M717" s="71" t="n"/>
      <c r="N717" s="71" t="n"/>
      <c r="O717" s="71" t="n"/>
      <c r="P717" s="71" t="n"/>
      <c r="Q717" s="71" t="n"/>
      <c r="R717" s="46" t="n"/>
      <c r="S717" s="46" t="n"/>
      <c r="T717" s="71" t="n"/>
      <c r="U717" s="71" t="n"/>
      <c r="V717" s="71" t="n"/>
      <c r="W717" s="71" t="n"/>
      <c r="X717" s="71" t="n"/>
    </row>
    <row r="718">
      <c r="A718" s="72" t="n"/>
      <c r="B718" s="72" t="n"/>
      <c r="C718" s="72" t="n"/>
      <c r="D718" s="72" t="n"/>
      <c r="E718" s="72" t="n"/>
      <c r="F718" s="73" t="n"/>
      <c r="G718" s="73" t="n"/>
      <c r="H718" s="72" t="n"/>
      <c r="I718" s="72" t="n"/>
      <c r="J718" s="72" t="n"/>
      <c r="K718" s="72" t="n"/>
      <c r="L718" s="72" t="n"/>
      <c r="M718" s="72" t="n"/>
      <c r="N718" s="72" t="n"/>
      <c r="O718" s="72" t="n"/>
      <c r="P718" s="72" t="n"/>
      <c r="Q718" s="72" t="n"/>
      <c r="R718" s="73" t="n"/>
      <c r="S718" s="73" t="n"/>
      <c r="T718" s="72" t="n"/>
      <c r="U718" s="72" t="n"/>
      <c r="V718" s="72" t="n"/>
      <c r="W718" s="72" t="n"/>
      <c r="X718" s="72" t="n"/>
    </row>
    <row r="719">
      <c r="A719" s="71" t="n"/>
      <c r="B719" s="71" t="n"/>
      <c r="C719" s="71" t="n"/>
      <c r="D719" s="71" t="n"/>
      <c r="E719" s="71" t="n"/>
      <c r="F719" s="46" t="n"/>
      <c r="G719" s="46" t="n"/>
      <c r="H719" s="71" t="n"/>
      <c r="I719" s="71" t="n"/>
      <c r="J719" s="71" t="n"/>
      <c r="K719" s="71" t="n"/>
      <c r="L719" s="71" t="n"/>
      <c r="M719" s="71" t="n"/>
      <c r="N719" s="71" t="n"/>
      <c r="O719" s="71" t="n"/>
      <c r="P719" s="71" t="n"/>
      <c r="Q719" s="71" t="n"/>
      <c r="R719" s="46" t="n"/>
      <c r="S719" s="46" t="n"/>
      <c r="T719" s="71" t="n"/>
      <c r="U719" s="71" t="n"/>
      <c r="V719" s="71" t="n"/>
      <c r="W719" s="71" t="n"/>
      <c r="X719" s="71" t="n"/>
    </row>
    <row r="720">
      <c r="A720" s="72" t="n"/>
      <c r="B720" s="72" t="n"/>
      <c r="C720" s="72" t="n"/>
      <c r="D720" s="72" t="n"/>
      <c r="E720" s="72" t="n"/>
      <c r="F720" s="73" t="n"/>
      <c r="G720" s="73" t="n"/>
      <c r="H720" s="72" t="n"/>
      <c r="I720" s="72" t="n"/>
      <c r="J720" s="72" t="n"/>
      <c r="K720" s="72" t="n"/>
      <c r="L720" s="72" t="n"/>
      <c r="M720" s="72" t="n"/>
      <c r="N720" s="72" t="n"/>
      <c r="O720" s="72" t="n"/>
      <c r="P720" s="72" t="n"/>
      <c r="Q720" s="72" t="n"/>
      <c r="R720" s="73" t="n"/>
      <c r="S720" s="73" t="n"/>
      <c r="T720" s="72" t="n"/>
      <c r="U720" s="72" t="n"/>
      <c r="V720" s="72" t="n"/>
      <c r="W720" s="72" t="n"/>
      <c r="X720" s="72" t="n"/>
    </row>
    <row r="721">
      <c r="A721" s="71" t="n"/>
      <c r="B721" s="71" t="n"/>
      <c r="C721" s="71" t="n"/>
      <c r="D721" s="71" t="n"/>
      <c r="E721" s="71" t="n"/>
      <c r="F721" s="46" t="n"/>
      <c r="G721" s="46" t="n"/>
      <c r="H721" s="71" t="n"/>
      <c r="I721" s="71" t="n"/>
      <c r="J721" s="71" t="n"/>
      <c r="K721" s="71" t="n"/>
      <c r="L721" s="71" t="n"/>
      <c r="M721" s="71" t="n"/>
      <c r="N721" s="71" t="n"/>
      <c r="O721" s="71" t="n"/>
      <c r="P721" s="71" t="n"/>
      <c r="Q721" s="71" t="n"/>
      <c r="R721" s="46" t="n"/>
      <c r="S721" s="46" t="n"/>
      <c r="T721" s="71" t="n"/>
      <c r="U721" s="71" t="n"/>
      <c r="V721" s="71" t="n"/>
      <c r="W721" s="71" t="n"/>
      <c r="X721" s="71" t="n"/>
    </row>
    <row r="722">
      <c r="A722" s="72" t="n"/>
      <c r="B722" s="72" t="n"/>
      <c r="C722" s="72" t="n"/>
      <c r="D722" s="72" t="n"/>
      <c r="E722" s="72" t="n"/>
      <c r="F722" s="73" t="n"/>
      <c r="G722" s="73" t="n"/>
      <c r="H722" s="72" t="n"/>
      <c r="I722" s="72" t="n"/>
      <c r="J722" s="72" t="n"/>
      <c r="K722" s="72" t="n"/>
      <c r="L722" s="72" t="n"/>
      <c r="M722" s="72" t="n"/>
      <c r="N722" s="72" t="n"/>
      <c r="O722" s="72" t="n"/>
      <c r="P722" s="72" t="n"/>
      <c r="Q722" s="72" t="n"/>
      <c r="R722" s="73" t="n"/>
      <c r="S722" s="73" t="n"/>
      <c r="T722" s="72" t="n"/>
      <c r="U722" s="72" t="n"/>
      <c r="V722" s="72" t="n"/>
      <c r="W722" s="72" t="n"/>
      <c r="X722" s="72" t="n"/>
    </row>
    <row r="723">
      <c r="A723" s="71" t="n"/>
      <c r="B723" s="71" t="n"/>
      <c r="C723" s="71" t="n"/>
      <c r="D723" s="71" t="n"/>
      <c r="E723" s="71" t="n"/>
      <c r="F723" s="46" t="n"/>
      <c r="G723" s="46" t="n"/>
      <c r="H723" s="71" t="n"/>
      <c r="I723" s="71" t="n"/>
      <c r="J723" s="71" t="n"/>
      <c r="K723" s="71" t="n"/>
      <c r="L723" s="71" t="n"/>
      <c r="M723" s="71" t="n"/>
      <c r="N723" s="71" t="n"/>
      <c r="O723" s="71" t="n"/>
      <c r="P723" s="71" t="n"/>
      <c r="Q723" s="71" t="n"/>
      <c r="R723" s="46" t="n"/>
      <c r="S723" s="46" t="n"/>
      <c r="T723" s="71" t="n"/>
      <c r="U723" s="71" t="n"/>
      <c r="V723" s="71" t="n"/>
      <c r="W723" s="71" t="n"/>
      <c r="X723" s="71" t="n"/>
    </row>
    <row r="724">
      <c r="A724" s="72" t="n"/>
      <c r="B724" s="72" t="n"/>
      <c r="C724" s="72" t="n"/>
      <c r="D724" s="72" t="n"/>
      <c r="E724" s="72" t="n"/>
      <c r="F724" s="73" t="n"/>
      <c r="G724" s="73" t="n"/>
      <c r="H724" s="72" t="n"/>
      <c r="I724" s="72" t="n"/>
      <c r="J724" s="72" t="n"/>
      <c r="K724" s="72" t="n"/>
      <c r="L724" s="72" t="n"/>
      <c r="M724" s="72" t="n"/>
      <c r="N724" s="72" t="n"/>
      <c r="O724" s="72" t="n"/>
      <c r="P724" s="72" t="n"/>
      <c r="Q724" s="72" t="n"/>
      <c r="R724" s="73" t="n"/>
      <c r="S724" s="73" t="n"/>
      <c r="T724" s="72" t="n"/>
      <c r="U724" s="72" t="n"/>
      <c r="V724" s="72" t="n"/>
      <c r="W724" s="72" t="n"/>
      <c r="X724" s="72" t="n"/>
    </row>
    <row r="725">
      <c r="A725" s="71" t="n"/>
      <c r="B725" s="71" t="n"/>
      <c r="C725" s="71" t="n"/>
      <c r="D725" s="71" t="n"/>
      <c r="E725" s="71" t="n"/>
      <c r="F725" s="46" t="n"/>
      <c r="G725" s="46" t="n"/>
      <c r="H725" s="71" t="n"/>
      <c r="I725" s="71" t="n"/>
      <c r="J725" s="71" t="n"/>
      <c r="K725" s="71" t="n"/>
      <c r="L725" s="71" t="n"/>
      <c r="M725" s="71" t="n"/>
      <c r="N725" s="71" t="n"/>
      <c r="O725" s="71" t="n"/>
      <c r="P725" s="71" t="n"/>
      <c r="Q725" s="71" t="n"/>
      <c r="R725" s="46" t="n"/>
      <c r="S725" s="46" t="n"/>
      <c r="T725" s="71" t="n"/>
      <c r="U725" s="71" t="n"/>
      <c r="V725" s="71" t="n"/>
      <c r="W725" s="71" t="n"/>
      <c r="X725" s="71" t="n"/>
    </row>
    <row r="726">
      <c r="A726" s="72" t="n"/>
      <c r="B726" s="72" t="n"/>
      <c r="C726" s="72" t="n"/>
      <c r="D726" s="72" t="n"/>
      <c r="E726" s="72" t="n"/>
      <c r="F726" s="73" t="n"/>
      <c r="G726" s="73" t="n"/>
      <c r="H726" s="72" t="n"/>
      <c r="I726" s="72" t="n"/>
      <c r="J726" s="72" t="n"/>
      <c r="K726" s="72" t="n"/>
      <c r="L726" s="72" t="n"/>
      <c r="M726" s="72" t="n"/>
      <c r="N726" s="72" t="n"/>
      <c r="O726" s="72" t="n"/>
      <c r="P726" s="72" t="n"/>
      <c r="Q726" s="72" t="n"/>
      <c r="R726" s="73" t="n"/>
      <c r="S726" s="73" t="n"/>
      <c r="T726" s="72" t="n"/>
      <c r="U726" s="72" t="n"/>
      <c r="V726" s="72" t="n"/>
      <c r="W726" s="72" t="n"/>
      <c r="X726" s="72" t="n"/>
    </row>
    <row r="727">
      <c r="A727" s="71" t="n"/>
      <c r="B727" s="71" t="n"/>
      <c r="C727" s="71" t="n"/>
      <c r="D727" s="71" t="n"/>
      <c r="E727" s="71" t="n"/>
      <c r="F727" s="46" t="n"/>
      <c r="G727" s="46" t="n"/>
      <c r="H727" s="71" t="n"/>
      <c r="I727" s="71" t="n"/>
      <c r="J727" s="71" t="n"/>
      <c r="K727" s="71" t="n"/>
      <c r="L727" s="71" t="n"/>
      <c r="M727" s="71" t="n"/>
      <c r="N727" s="71" t="n"/>
      <c r="O727" s="71" t="n"/>
      <c r="P727" s="71" t="n"/>
      <c r="Q727" s="71" t="n"/>
      <c r="R727" s="46" t="n"/>
      <c r="S727" s="46" t="n"/>
      <c r="T727" s="71" t="n"/>
      <c r="U727" s="71" t="n"/>
      <c r="V727" s="71" t="n"/>
      <c r="W727" s="71" t="n"/>
      <c r="X727" s="71" t="n"/>
    </row>
    <row r="728">
      <c r="A728" s="72" t="n"/>
      <c r="B728" s="72" t="n"/>
      <c r="C728" s="72" t="n"/>
      <c r="D728" s="72" t="n"/>
      <c r="E728" s="72" t="n"/>
      <c r="F728" s="73" t="n"/>
      <c r="G728" s="73" t="n"/>
      <c r="H728" s="72" t="n"/>
      <c r="I728" s="72" t="n"/>
      <c r="J728" s="72" t="n"/>
      <c r="K728" s="72" t="n"/>
      <c r="L728" s="72" t="n"/>
      <c r="M728" s="72" t="n"/>
      <c r="N728" s="72" t="n"/>
      <c r="O728" s="72" t="n"/>
      <c r="P728" s="72" t="n"/>
      <c r="Q728" s="72" t="n"/>
      <c r="R728" s="73" t="n"/>
      <c r="S728" s="73" t="n"/>
      <c r="T728" s="72" t="n"/>
      <c r="U728" s="72" t="n"/>
      <c r="V728" s="72" t="n"/>
      <c r="W728" s="72" t="n"/>
      <c r="X728" s="72" t="n"/>
    </row>
    <row r="729">
      <c r="A729" s="71" t="n"/>
      <c r="B729" s="71" t="n"/>
      <c r="C729" s="71" t="n"/>
      <c r="D729" s="71" t="n"/>
      <c r="E729" s="71" t="n"/>
      <c r="F729" s="46" t="n"/>
      <c r="G729" s="46" t="n"/>
      <c r="H729" s="71" t="n"/>
      <c r="I729" s="71" t="n"/>
      <c r="J729" s="71" t="n"/>
      <c r="K729" s="71" t="n"/>
      <c r="L729" s="71" t="n"/>
      <c r="M729" s="71" t="n"/>
      <c r="N729" s="71" t="n"/>
      <c r="O729" s="71" t="n"/>
      <c r="P729" s="71" t="n"/>
      <c r="Q729" s="71" t="n"/>
      <c r="R729" s="46" t="n"/>
      <c r="S729" s="46" t="n"/>
      <c r="T729" s="71" t="n"/>
      <c r="U729" s="71" t="n"/>
      <c r="V729" s="71" t="n"/>
      <c r="W729" s="71" t="n"/>
      <c r="X729" s="71" t="n"/>
    </row>
    <row r="730">
      <c r="A730" s="72" t="n"/>
      <c r="B730" s="72" t="n"/>
      <c r="C730" s="72" t="n"/>
      <c r="D730" s="72" t="n"/>
      <c r="E730" s="72" t="n"/>
      <c r="F730" s="73" t="n"/>
      <c r="G730" s="73" t="n"/>
      <c r="H730" s="72" t="n"/>
      <c r="I730" s="72" t="n"/>
      <c r="J730" s="72" t="n"/>
      <c r="K730" s="72" t="n"/>
      <c r="L730" s="72" t="n"/>
      <c r="M730" s="72" t="n"/>
      <c r="N730" s="72" t="n"/>
      <c r="O730" s="72" t="n"/>
      <c r="P730" s="72" t="n"/>
      <c r="Q730" s="72" t="n"/>
      <c r="R730" s="73" t="n"/>
      <c r="S730" s="73" t="n"/>
      <c r="T730" s="72" t="n"/>
      <c r="U730" s="72" t="n"/>
      <c r="V730" s="72" t="n"/>
      <c r="W730" s="72" t="n"/>
      <c r="X730" s="72" t="n"/>
    </row>
    <row r="731">
      <c r="A731" s="71" t="n"/>
      <c r="B731" s="71" t="n"/>
      <c r="C731" s="71" t="n"/>
      <c r="D731" s="71" t="n"/>
      <c r="E731" s="71" t="n"/>
      <c r="F731" s="46" t="n"/>
      <c r="G731" s="46" t="n"/>
      <c r="H731" s="71" t="n"/>
      <c r="I731" s="71" t="n"/>
      <c r="J731" s="71" t="n"/>
      <c r="K731" s="71" t="n"/>
      <c r="L731" s="71" t="n"/>
      <c r="M731" s="71" t="n"/>
      <c r="N731" s="71" t="n"/>
      <c r="O731" s="71" t="n"/>
      <c r="P731" s="71" t="n"/>
      <c r="Q731" s="71" t="n"/>
      <c r="R731" s="46" t="n"/>
      <c r="S731" s="46" t="n"/>
      <c r="T731" s="71" t="n"/>
      <c r="U731" s="71" t="n"/>
      <c r="V731" s="71" t="n"/>
      <c r="W731" s="71" t="n"/>
      <c r="X731" s="71" t="n"/>
    </row>
    <row r="732">
      <c r="A732" s="72" t="n"/>
      <c r="B732" s="72" t="n"/>
      <c r="C732" s="72" t="n"/>
      <c r="D732" s="72" t="n"/>
      <c r="E732" s="72" t="n"/>
      <c r="F732" s="73" t="n"/>
      <c r="G732" s="73" t="n"/>
      <c r="H732" s="72" t="n"/>
      <c r="I732" s="72" t="n"/>
      <c r="J732" s="72" t="n"/>
      <c r="K732" s="72" t="n"/>
      <c r="L732" s="72" t="n"/>
      <c r="M732" s="72" t="n"/>
      <c r="N732" s="72" t="n"/>
      <c r="O732" s="72" t="n"/>
      <c r="P732" s="72" t="n"/>
      <c r="Q732" s="72" t="n"/>
      <c r="R732" s="73" t="n"/>
      <c r="S732" s="73" t="n"/>
      <c r="T732" s="72" t="n"/>
      <c r="U732" s="72" t="n"/>
      <c r="V732" s="72" t="n"/>
      <c r="W732" s="72" t="n"/>
      <c r="X732" s="72" t="n"/>
    </row>
    <row r="733">
      <c r="A733" s="71" t="n"/>
      <c r="B733" s="71" t="n"/>
      <c r="C733" s="71" t="n"/>
      <c r="D733" s="71" t="n"/>
      <c r="E733" s="71" t="n"/>
      <c r="F733" s="46" t="n"/>
      <c r="G733" s="46" t="n"/>
      <c r="H733" s="71" t="n"/>
      <c r="I733" s="71" t="n"/>
      <c r="J733" s="71" t="n"/>
      <c r="K733" s="71" t="n"/>
      <c r="L733" s="71" t="n"/>
      <c r="M733" s="71" t="n"/>
      <c r="N733" s="71" t="n"/>
      <c r="O733" s="71" t="n"/>
      <c r="P733" s="71" t="n"/>
      <c r="Q733" s="71" t="n"/>
      <c r="R733" s="46" t="n"/>
      <c r="S733" s="46" t="n"/>
      <c r="T733" s="71" t="n"/>
      <c r="U733" s="71" t="n"/>
      <c r="V733" s="71" t="n"/>
      <c r="W733" s="71" t="n"/>
      <c r="X733" s="71" t="n"/>
    </row>
    <row r="734">
      <c r="A734" s="72" t="n"/>
      <c r="B734" s="72" t="n"/>
      <c r="C734" s="72" t="n"/>
      <c r="D734" s="72" t="n"/>
      <c r="E734" s="72" t="n"/>
      <c r="F734" s="73" t="n"/>
      <c r="G734" s="73" t="n"/>
      <c r="H734" s="72" t="n"/>
      <c r="I734" s="72" t="n"/>
      <c r="J734" s="72" t="n"/>
      <c r="K734" s="72" t="n"/>
      <c r="L734" s="72" t="n"/>
      <c r="M734" s="72" t="n"/>
      <c r="N734" s="72" t="n"/>
      <c r="O734" s="72" t="n"/>
      <c r="P734" s="72" t="n"/>
      <c r="Q734" s="72" t="n"/>
      <c r="R734" s="73" t="n"/>
      <c r="S734" s="73" t="n"/>
      <c r="T734" s="72" t="n"/>
      <c r="U734" s="72" t="n"/>
      <c r="V734" s="72" t="n"/>
      <c r="W734" s="72" t="n"/>
      <c r="X734" s="72" t="n"/>
    </row>
    <row r="735">
      <c r="A735" s="71" t="n"/>
      <c r="B735" s="71" t="n"/>
      <c r="C735" s="71" t="n"/>
      <c r="D735" s="71" t="n"/>
      <c r="E735" s="71" t="n"/>
      <c r="F735" s="46" t="n"/>
      <c r="G735" s="46" t="n"/>
      <c r="H735" s="71" t="n"/>
      <c r="I735" s="71" t="n"/>
      <c r="J735" s="71" t="n"/>
      <c r="K735" s="71" t="n"/>
      <c r="L735" s="71" t="n"/>
      <c r="M735" s="71" t="n"/>
      <c r="N735" s="71" t="n"/>
      <c r="O735" s="71" t="n"/>
      <c r="P735" s="71" t="n"/>
      <c r="Q735" s="71" t="n"/>
      <c r="R735" s="46" t="n"/>
      <c r="S735" s="46" t="n"/>
      <c r="T735" s="71" t="n"/>
      <c r="U735" s="71" t="n"/>
      <c r="V735" s="71" t="n"/>
      <c r="W735" s="71" t="n"/>
      <c r="X735" s="71" t="n"/>
    </row>
    <row r="736">
      <c r="A736" s="72" t="n"/>
      <c r="B736" s="72" t="n"/>
      <c r="C736" s="72" t="n"/>
      <c r="D736" s="72" t="n"/>
      <c r="E736" s="72" t="n"/>
      <c r="F736" s="73" t="n"/>
      <c r="G736" s="73" t="n"/>
      <c r="H736" s="72" t="n"/>
      <c r="I736" s="72" t="n"/>
      <c r="J736" s="72" t="n"/>
      <c r="K736" s="72" t="n"/>
      <c r="L736" s="72" t="n"/>
      <c r="M736" s="72" t="n"/>
      <c r="N736" s="72" t="n"/>
      <c r="O736" s="72" t="n"/>
      <c r="P736" s="72" t="n"/>
      <c r="Q736" s="72" t="n"/>
      <c r="R736" s="73" t="n"/>
      <c r="S736" s="73" t="n"/>
      <c r="T736" s="72" t="n"/>
      <c r="U736" s="72" t="n"/>
      <c r="V736" s="72" t="n"/>
      <c r="W736" s="72" t="n"/>
      <c r="X736" s="72" t="n"/>
    </row>
    <row r="737">
      <c r="A737" s="71" t="n"/>
      <c r="B737" s="71" t="n"/>
      <c r="C737" s="71" t="n"/>
      <c r="D737" s="71" t="n"/>
      <c r="E737" s="71" t="n"/>
      <c r="F737" s="46" t="n"/>
      <c r="G737" s="46" t="n"/>
      <c r="H737" s="71" t="n"/>
      <c r="I737" s="71" t="n"/>
      <c r="J737" s="71" t="n"/>
      <c r="K737" s="71" t="n"/>
      <c r="L737" s="71" t="n"/>
      <c r="M737" s="71" t="n"/>
      <c r="N737" s="71" t="n"/>
      <c r="O737" s="71" t="n"/>
      <c r="P737" s="71" t="n"/>
      <c r="Q737" s="71" t="n"/>
      <c r="R737" s="46" t="n"/>
      <c r="S737" s="46" t="n"/>
      <c r="T737" s="71" t="n"/>
      <c r="U737" s="71" t="n"/>
      <c r="V737" s="71" t="n"/>
      <c r="W737" s="71" t="n"/>
      <c r="X737" s="71" t="n"/>
    </row>
    <row r="738">
      <c r="A738" s="72" t="n"/>
      <c r="B738" s="72" t="n"/>
      <c r="C738" s="72" t="n"/>
      <c r="D738" s="72" t="n"/>
      <c r="E738" s="72" t="n"/>
      <c r="F738" s="73" t="n"/>
      <c r="G738" s="73" t="n"/>
      <c r="H738" s="72" t="n"/>
      <c r="I738" s="72" t="n"/>
      <c r="J738" s="72" t="n"/>
      <c r="K738" s="72" t="n"/>
      <c r="L738" s="72" t="n"/>
      <c r="M738" s="72" t="n"/>
      <c r="N738" s="72" t="n"/>
      <c r="O738" s="72" t="n"/>
      <c r="P738" s="72" t="n"/>
      <c r="Q738" s="72" t="n"/>
      <c r="R738" s="73" t="n"/>
      <c r="S738" s="73" t="n"/>
      <c r="T738" s="72" t="n"/>
      <c r="U738" s="72" t="n"/>
      <c r="V738" s="72" t="n"/>
      <c r="W738" s="72" t="n"/>
      <c r="X738" s="72" t="n"/>
    </row>
    <row r="739">
      <c r="A739" s="71" t="n"/>
      <c r="B739" s="71" t="n"/>
      <c r="C739" s="71" t="n"/>
      <c r="D739" s="71" t="n"/>
      <c r="E739" s="71" t="n"/>
      <c r="F739" s="46" t="n"/>
      <c r="G739" s="46" t="n"/>
      <c r="H739" s="71" t="n"/>
      <c r="I739" s="71" t="n"/>
      <c r="J739" s="71" t="n"/>
      <c r="K739" s="71" t="n"/>
      <c r="L739" s="71" t="n"/>
      <c r="M739" s="71" t="n"/>
      <c r="N739" s="71" t="n"/>
      <c r="O739" s="71" t="n"/>
      <c r="P739" s="71" t="n"/>
      <c r="Q739" s="71" t="n"/>
      <c r="R739" s="46" t="n"/>
      <c r="S739" s="46" t="n"/>
      <c r="T739" s="71" t="n"/>
      <c r="U739" s="71" t="n"/>
      <c r="V739" s="71" t="n"/>
      <c r="W739" s="71" t="n"/>
      <c r="X739" s="71" t="n"/>
    </row>
    <row r="740">
      <c r="A740" s="72" t="n"/>
      <c r="B740" s="72" t="n"/>
      <c r="C740" s="72" t="n"/>
      <c r="D740" s="72" t="n"/>
      <c r="E740" s="72" t="n"/>
      <c r="F740" s="73" t="n"/>
      <c r="G740" s="73" t="n"/>
      <c r="H740" s="72" t="n"/>
      <c r="I740" s="72" t="n"/>
      <c r="J740" s="72" t="n"/>
      <c r="K740" s="72" t="n"/>
      <c r="L740" s="72" t="n"/>
      <c r="M740" s="72" t="n"/>
      <c r="N740" s="72" t="n"/>
      <c r="O740" s="72" t="n"/>
      <c r="P740" s="72" t="n"/>
      <c r="Q740" s="72" t="n"/>
      <c r="R740" s="73" t="n"/>
      <c r="S740" s="73" t="n"/>
      <c r="T740" s="72" t="n"/>
      <c r="U740" s="72" t="n"/>
      <c r="V740" s="72" t="n"/>
      <c r="W740" s="72" t="n"/>
      <c r="X740" s="72" t="n"/>
    </row>
    <row r="741">
      <c r="A741" s="71" t="n"/>
      <c r="B741" s="71" t="n"/>
      <c r="C741" s="71" t="n"/>
      <c r="D741" s="71" t="n"/>
      <c r="E741" s="71" t="n"/>
      <c r="F741" s="46" t="n"/>
      <c r="G741" s="46" t="n"/>
      <c r="H741" s="71" t="n"/>
      <c r="I741" s="71" t="n"/>
      <c r="J741" s="71" t="n"/>
      <c r="K741" s="71" t="n"/>
      <c r="L741" s="71" t="n"/>
      <c r="M741" s="71" t="n"/>
      <c r="N741" s="71" t="n"/>
      <c r="O741" s="71" t="n"/>
      <c r="P741" s="71" t="n"/>
      <c r="Q741" s="71" t="n"/>
      <c r="R741" s="46" t="n"/>
      <c r="S741" s="46" t="n"/>
      <c r="T741" s="71" t="n"/>
      <c r="U741" s="71" t="n"/>
      <c r="V741" s="71" t="n"/>
      <c r="W741" s="71" t="n"/>
      <c r="X741" s="71" t="n"/>
    </row>
    <row r="742">
      <c r="A742" s="72" t="n"/>
      <c r="B742" s="72" t="n"/>
      <c r="C742" s="72" t="n"/>
      <c r="D742" s="72" t="n"/>
      <c r="E742" s="72" t="n"/>
      <c r="F742" s="73" t="n"/>
      <c r="G742" s="73" t="n"/>
      <c r="H742" s="72" t="n"/>
      <c r="I742" s="72" t="n"/>
      <c r="J742" s="72" t="n"/>
      <c r="K742" s="72" t="n"/>
      <c r="L742" s="72" t="n"/>
      <c r="M742" s="72" t="n"/>
      <c r="N742" s="72" t="n"/>
      <c r="O742" s="72" t="n"/>
      <c r="P742" s="72" t="n"/>
      <c r="Q742" s="72" t="n"/>
      <c r="R742" s="73" t="n"/>
      <c r="S742" s="73" t="n"/>
      <c r="T742" s="72" t="n"/>
      <c r="U742" s="72" t="n"/>
      <c r="V742" s="72" t="n"/>
      <c r="W742" s="72" t="n"/>
      <c r="X742" s="72" t="n"/>
    </row>
    <row r="743">
      <c r="A743" s="71" t="n"/>
      <c r="B743" s="71" t="n"/>
      <c r="C743" s="71" t="n"/>
      <c r="D743" s="71" t="n"/>
      <c r="E743" s="71" t="n"/>
      <c r="F743" s="46" t="n"/>
      <c r="G743" s="46" t="n"/>
      <c r="H743" s="71" t="n"/>
      <c r="I743" s="71" t="n"/>
      <c r="J743" s="71" t="n"/>
      <c r="K743" s="71" t="n"/>
      <c r="L743" s="71" t="n"/>
      <c r="M743" s="71" t="n"/>
      <c r="N743" s="71" t="n"/>
      <c r="O743" s="71" t="n"/>
      <c r="P743" s="71" t="n"/>
      <c r="Q743" s="71" t="n"/>
      <c r="R743" s="46" t="n"/>
      <c r="S743" s="46" t="n"/>
      <c r="T743" s="71" t="n"/>
      <c r="U743" s="71" t="n"/>
      <c r="V743" s="71" t="n"/>
      <c r="W743" s="71" t="n"/>
      <c r="X743" s="71" t="n"/>
    </row>
    <row r="744">
      <c r="A744" s="72" t="n"/>
      <c r="B744" s="72" t="n"/>
      <c r="C744" s="72" t="n"/>
      <c r="D744" s="72" t="n"/>
      <c r="E744" s="72" t="n"/>
      <c r="F744" s="73" t="n"/>
      <c r="G744" s="73" t="n"/>
      <c r="H744" s="72" t="n"/>
      <c r="I744" s="72" t="n"/>
      <c r="J744" s="72" t="n"/>
      <c r="K744" s="72" t="n"/>
      <c r="L744" s="72" t="n"/>
      <c r="M744" s="72" t="n"/>
      <c r="N744" s="72" t="n"/>
      <c r="O744" s="72" t="n"/>
      <c r="P744" s="72" t="n"/>
      <c r="Q744" s="72" t="n"/>
      <c r="R744" s="73" t="n"/>
      <c r="S744" s="73" t="n"/>
      <c r="T744" s="72" t="n"/>
      <c r="U744" s="72" t="n"/>
      <c r="V744" s="72" t="n"/>
      <c r="W744" s="72" t="n"/>
      <c r="X744" s="72" t="n"/>
    </row>
    <row r="745">
      <c r="A745" s="71" t="n"/>
      <c r="B745" s="71" t="n"/>
      <c r="C745" s="71" t="n"/>
      <c r="D745" s="71" t="n"/>
      <c r="E745" s="71" t="n"/>
      <c r="F745" s="46" t="n"/>
      <c r="G745" s="46" t="n"/>
      <c r="H745" s="71" t="n"/>
      <c r="I745" s="71" t="n"/>
      <c r="J745" s="71" t="n"/>
      <c r="K745" s="71" t="n"/>
      <c r="L745" s="71" t="n"/>
      <c r="M745" s="71" t="n"/>
      <c r="N745" s="71" t="n"/>
      <c r="O745" s="71" t="n"/>
      <c r="P745" s="71" t="n"/>
      <c r="Q745" s="71" t="n"/>
      <c r="R745" s="46" t="n"/>
      <c r="S745" s="46" t="n"/>
      <c r="T745" s="71" t="n"/>
      <c r="U745" s="71" t="n"/>
      <c r="V745" s="71" t="n"/>
      <c r="W745" s="71" t="n"/>
      <c r="X745" s="71" t="n"/>
    </row>
    <row r="746">
      <c r="A746" s="72" t="n"/>
      <c r="B746" s="72" t="n"/>
      <c r="C746" s="72" t="n"/>
      <c r="D746" s="72" t="n"/>
      <c r="E746" s="72" t="n"/>
      <c r="F746" s="73" t="n"/>
      <c r="G746" s="73" t="n"/>
      <c r="H746" s="72" t="n"/>
      <c r="I746" s="72" t="n"/>
      <c r="J746" s="72" t="n"/>
      <c r="K746" s="72" t="n"/>
      <c r="L746" s="72" t="n"/>
      <c r="M746" s="72" t="n"/>
      <c r="N746" s="72" t="n"/>
      <c r="O746" s="72" t="n"/>
      <c r="P746" s="72" t="n"/>
      <c r="Q746" s="72" t="n"/>
      <c r="R746" s="73" t="n"/>
      <c r="S746" s="73" t="n"/>
      <c r="T746" s="72" t="n"/>
      <c r="U746" s="72" t="n"/>
      <c r="V746" s="72" t="n"/>
      <c r="W746" s="72" t="n"/>
      <c r="X746" s="72" t="n"/>
    </row>
    <row r="747">
      <c r="A747" s="71" t="n"/>
      <c r="B747" s="71" t="n"/>
      <c r="C747" s="71" t="n"/>
      <c r="D747" s="71" t="n"/>
      <c r="E747" s="71" t="n"/>
      <c r="F747" s="46" t="n"/>
      <c r="G747" s="46" t="n"/>
      <c r="H747" s="71" t="n"/>
      <c r="I747" s="71" t="n"/>
      <c r="J747" s="71" t="n"/>
      <c r="K747" s="71" t="n"/>
      <c r="L747" s="71" t="n"/>
      <c r="M747" s="71" t="n"/>
      <c r="N747" s="71" t="n"/>
      <c r="O747" s="71" t="n"/>
      <c r="P747" s="71" t="n"/>
      <c r="Q747" s="71" t="n"/>
      <c r="R747" s="46" t="n"/>
      <c r="S747" s="46" t="n"/>
      <c r="T747" s="71" t="n"/>
      <c r="U747" s="71" t="n"/>
      <c r="V747" s="71" t="n"/>
      <c r="W747" s="71" t="n"/>
      <c r="X747" s="71" t="n"/>
    </row>
    <row r="748">
      <c r="A748" s="72" t="n"/>
      <c r="B748" s="72" t="n"/>
      <c r="C748" s="72" t="n"/>
      <c r="D748" s="72" t="n"/>
      <c r="E748" s="72" t="n"/>
      <c r="F748" s="73" t="n"/>
      <c r="G748" s="73" t="n"/>
      <c r="H748" s="72" t="n"/>
      <c r="I748" s="72" t="n"/>
      <c r="J748" s="72" t="n"/>
      <c r="K748" s="72" t="n"/>
      <c r="L748" s="72" t="n"/>
      <c r="M748" s="72" t="n"/>
      <c r="N748" s="72" t="n"/>
      <c r="O748" s="72" t="n"/>
      <c r="P748" s="72" t="n"/>
      <c r="Q748" s="72" t="n"/>
      <c r="R748" s="73" t="n"/>
      <c r="S748" s="73" t="n"/>
      <c r="T748" s="72" t="n"/>
      <c r="U748" s="72" t="n"/>
      <c r="V748" s="72" t="n"/>
      <c r="W748" s="72" t="n"/>
      <c r="X748" s="72" t="n"/>
    </row>
    <row r="749">
      <c r="A749" s="71" t="n"/>
      <c r="B749" s="71" t="n"/>
      <c r="C749" s="71" t="n"/>
      <c r="D749" s="71" t="n"/>
      <c r="E749" s="71" t="n"/>
      <c r="F749" s="46" t="n"/>
      <c r="G749" s="46" t="n"/>
      <c r="H749" s="71" t="n"/>
      <c r="I749" s="71" t="n"/>
      <c r="J749" s="71" t="n"/>
      <c r="K749" s="71" t="n"/>
      <c r="L749" s="71" t="n"/>
      <c r="M749" s="71" t="n"/>
      <c r="N749" s="71" t="n"/>
      <c r="O749" s="71" t="n"/>
      <c r="P749" s="71" t="n"/>
      <c r="Q749" s="71" t="n"/>
      <c r="R749" s="46" t="n"/>
      <c r="S749" s="46" t="n"/>
      <c r="T749" s="71" t="n"/>
      <c r="U749" s="71" t="n"/>
      <c r="V749" s="71" t="n"/>
      <c r="W749" s="71" t="n"/>
      <c r="X749" s="71" t="n"/>
    </row>
    <row r="750">
      <c r="A750" s="72" t="n"/>
      <c r="B750" s="72" t="n"/>
      <c r="C750" s="72" t="n"/>
      <c r="D750" s="72" t="n"/>
      <c r="E750" s="72" t="n"/>
      <c r="F750" s="73" t="n"/>
      <c r="G750" s="73" t="n"/>
      <c r="H750" s="72" t="n"/>
      <c r="I750" s="72" t="n"/>
      <c r="J750" s="72" t="n"/>
      <c r="K750" s="72" t="n"/>
      <c r="L750" s="72" t="n"/>
      <c r="M750" s="72" t="n"/>
      <c r="N750" s="72" t="n"/>
      <c r="O750" s="72" t="n"/>
      <c r="P750" s="72" t="n"/>
      <c r="Q750" s="72" t="n"/>
      <c r="R750" s="73" t="n"/>
      <c r="S750" s="73" t="n"/>
      <c r="T750" s="72" t="n"/>
      <c r="U750" s="72" t="n"/>
      <c r="V750" s="72" t="n"/>
      <c r="W750" s="72" t="n"/>
      <c r="X750" s="72" t="n"/>
    </row>
    <row r="751">
      <c r="A751" s="71" t="n"/>
      <c r="B751" s="71" t="n"/>
      <c r="C751" s="71" t="n"/>
      <c r="D751" s="71" t="n"/>
      <c r="E751" s="71" t="n"/>
      <c r="F751" s="46" t="n"/>
      <c r="G751" s="46" t="n"/>
      <c r="H751" s="71" t="n"/>
      <c r="I751" s="71" t="n"/>
      <c r="J751" s="71" t="n"/>
      <c r="K751" s="71" t="n"/>
      <c r="L751" s="71" t="n"/>
      <c r="M751" s="71" t="n"/>
      <c r="N751" s="71" t="n"/>
      <c r="O751" s="71" t="n"/>
      <c r="P751" s="71" t="n"/>
      <c r="Q751" s="71" t="n"/>
      <c r="R751" s="46" t="n"/>
      <c r="S751" s="46" t="n"/>
      <c r="T751" s="71" t="n"/>
      <c r="U751" s="71" t="n"/>
      <c r="V751" s="71" t="n"/>
      <c r="W751" s="71" t="n"/>
      <c r="X751" s="71" t="n"/>
    </row>
    <row r="752">
      <c r="A752" s="72" t="n"/>
      <c r="B752" s="72" t="n"/>
      <c r="C752" s="72" t="n"/>
      <c r="D752" s="72" t="n"/>
      <c r="E752" s="72" t="n"/>
      <c r="F752" s="73" t="n"/>
      <c r="G752" s="73" t="n"/>
      <c r="H752" s="72" t="n"/>
      <c r="I752" s="72" t="n"/>
      <c r="J752" s="72" t="n"/>
      <c r="K752" s="72" t="n"/>
      <c r="L752" s="72" t="n"/>
      <c r="M752" s="72" t="n"/>
      <c r="N752" s="72" t="n"/>
      <c r="O752" s="72" t="n"/>
      <c r="P752" s="72" t="n"/>
      <c r="Q752" s="72" t="n"/>
      <c r="R752" s="73" t="n"/>
      <c r="S752" s="73" t="n"/>
      <c r="T752" s="72" t="n"/>
      <c r="U752" s="72" t="n"/>
      <c r="V752" s="72" t="n"/>
      <c r="W752" s="72" t="n"/>
      <c r="X752" s="72" t="n"/>
    </row>
    <row r="753">
      <c r="A753" s="71" t="n"/>
      <c r="B753" s="71" t="n"/>
      <c r="C753" s="71" t="n"/>
      <c r="D753" s="71" t="n"/>
      <c r="E753" s="71" t="n"/>
      <c r="F753" s="46" t="n"/>
      <c r="G753" s="46" t="n"/>
      <c r="H753" s="71" t="n"/>
      <c r="I753" s="71" t="n"/>
      <c r="J753" s="71" t="n"/>
      <c r="K753" s="71" t="n"/>
      <c r="L753" s="71" t="n"/>
      <c r="M753" s="71" t="n"/>
      <c r="N753" s="71" t="n"/>
      <c r="O753" s="71" t="n"/>
      <c r="P753" s="71" t="n"/>
      <c r="Q753" s="71" t="n"/>
      <c r="R753" s="46" t="n"/>
      <c r="S753" s="46" t="n"/>
      <c r="T753" s="71" t="n"/>
      <c r="U753" s="71" t="n"/>
      <c r="V753" s="71" t="n"/>
      <c r="W753" s="71" t="n"/>
      <c r="X753" s="71" t="n"/>
    </row>
    <row r="754">
      <c r="A754" s="72" t="n"/>
      <c r="B754" s="72" t="n"/>
      <c r="C754" s="72" t="n"/>
      <c r="D754" s="72" t="n"/>
      <c r="E754" s="72" t="n"/>
      <c r="F754" s="73" t="n"/>
      <c r="G754" s="73" t="n"/>
      <c r="H754" s="72" t="n"/>
      <c r="I754" s="72" t="n"/>
      <c r="J754" s="72" t="n"/>
      <c r="K754" s="72" t="n"/>
      <c r="L754" s="72" t="n"/>
      <c r="M754" s="72" t="n"/>
      <c r="N754" s="72" t="n"/>
      <c r="O754" s="72" t="n"/>
      <c r="P754" s="72" t="n"/>
      <c r="Q754" s="72" t="n"/>
      <c r="R754" s="73" t="n"/>
      <c r="S754" s="73" t="n"/>
      <c r="T754" s="72" t="n"/>
      <c r="U754" s="72" t="n"/>
      <c r="V754" s="72" t="n"/>
      <c r="W754" s="72" t="n"/>
      <c r="X754" s="72" t="n"/>
    </row>
    <row r="755">
      <c r="A755" s="71" t="n"/>
      <c r="B755" s="71" t="n"/>
      <c r="C755" s="71" t="n"/>
      <c r="D755" s="71" t="n"/>
      <c r="E755" s="71" t="n"/>
      <c r="F755" s="46" t="n"/>
      <c r="G755" s="46" t="n"/>
      <c r="H755" s="71" t="n"/>
      <c r="I755" s="71" t="n"/>
      <c r="J755" s="71" t="n"/>
      <c r="K755" s="71" t="n"/>
      <c r="L755" s="71" t="n"/>
      <c r="M755" s="71" t="n"/>
      <c r="N755" s="71" t="n"/>
      <c r="O755" s="71" t="n"/>
      <c r="P755" s="71" t="n"/>
      <c r="Q755" s="71" t="n"/>
      <c r="R755" s="46" t="n"/>
      <c r="S755" s="46" t="n"/>
      <c r="T755" s="71" t="n"/>
      <c r="U755" s="71" t="n"/>
      <c r="V755" s="71" t="n"/>
      <c r="W755" s="71" t="n"/>
      <c r="X755" s="71" t="n"/>
    </row>
    <row r="756">
      <c r="A756" s="72" t="n"/>
      <c r="B756" s="72" t="n"/>
      <c r="C756" s="72" t="n"/>
      <c r="D756" s="72" t="n"/>
      <c r="E756" s="72" t="n"/>
      <c r="F756" s="73" t="n"/>
      <c r="G756" s="73" t="n"/>
      <c r="H756" s="72" t="n"/>
      <c r="I756" s="72" t="n"/>
      <c r="J756" s="72" t="n"/>
      <c r="K756" s="72" t="n"/>
      <c r="L756" s="72" t="n"/>
      <c r="M756" s="72" t="n"/>
      <c r="N756" s="72" t="n"/>
      <c r="O756" s="72" t="n"/>
      <c r="P756" s="72" t="n"/>
      <c r="Q756" s="72" t="n"/>
      <c r="R756" s="73" t="n"/>
      <c r="S756" s="73" t="n"/>
      <c r="T756" s="72" t="n"/>
      <c r="U756" s="72" t="n"/>
      <c r="V756" s="72" t="n"/>
      <c r="W756" s="72" t="n"/>
      <c r="X756" s="72" t="n"/>
    </row>
    <row r="757">
      <c r="A757" s="71" t="n"/>
      <c r="B757" s="71" t="n"/>
      <c r="C757" s="71" t="n"/>
      <c r="D757" s="71" t="n"/>
      <c r="E757" s="71" t="n"/>
      <c r="F757" s="46" t="n"/>
      <c r="G757" s="46" t="n"/>
      <c r="H757" s="71" t="n"/>
      <c r="I757" s="71" t="n"/>
      <c r="J757" s="71" t="n"/>
      <c r="K757" s="71" t="n"/>
      <c r="L757" s="71" t="n"/>
      <c r="M757" s="71" t="n"/>
      <c r="N757" s="71" t="n"/>
      <c r="O757" s="71" t="n"/>
      <c r="P757" s="71" t="n"/>
      <c r="Q757" s="71" t="n"/>
      <c r="R757" s="46" t="n"/>
      <c r="S757" s="46" t="n"/>
      <c r="T757" s="71" t="n"/>
      <c r="U757" s="71" t="n"/>
      <c r="V757" s="71" t="n"/>
      <c r="W757" s="71" t="n"/>
      <c r="X757" s="71" t="n"/>
    </row>
    <row r="758">
      <c r="A758" s="72" t="n"/>
      <c r="B758" s="72" t="n"/>
      <c r="C758" s="72" t="n"/>
      <c r="D758" s="72" t="n"/>
      <c r="E758" s="72" t="n"/>
      <c r="F758" s="73" t="n"/>
      <c r="G758" s="73" t="n"/>
      <c r="H758" s="72" t="n"/>
      <c r="I758" s="72" t="n"/>
      <c r="J758" s="72" t="n"/>
      <c r="K758" s="72" t="n"/>
      <c r="L758" s="72" t="n"/>
      <c r="M758" s="72" t="n"/>
      <c r="N758" s="72" t="n"/>
      <c r="O758" s="72" t="n"/>
      <c r="P758" s="72" t="n"/>
      <c r="Q758" s="72" t="n"/>
      <c r="R758" s="73" t="n"/>
      <c r="S758" s="73" t="n"/>
      <c r="T758" s="72" t="n"/>
      <c r="U758" s="72" t="n"/>
      <c r="V758" s="72" t="n"/>
      <c r="W758" s="72" t="n"/>
      <c r="X758" s="72" t="n"/>
    </row>
    <row r="759">
      <c r="A759" s="71" t="n"/>
      <c r="B759" s="71" t="n"/>
      <c r="C759" s="71" t="n"/>
      <c r="D759" s="71" t="n"/>
      <c r="E759" s="71" t="n"/>
      <c r="F759" s="46" t="n"/>
      <c r="G759" s="46" t="n"/>
      <c r="H759" s="71" t="n"/>
      <c r="I759" s="71" t="n"/>
      <c r="J759" s="71" t="n"/>
      <c r="K759" s="71" t="n"/>
      <c r="L759" s="71" t="n"/>
      <c r="M759" s="71" t="n"/>
      <c r="N759" s="71" t="n"/>
      <c r="O759" s="71" t="n"/>
      <c r="P759" s="71" t="n"/>
      <c r="Q759" s="71" t="n"/>
      <c r="R759" s="46" t="n"/>
      <c r="S759" s="46" t="n"/>
      <c r="T759" s="71" t="n"/>
      <c r="U759" s="71" t="n"/>
      <c r="V759" s="71" t="n"/>
      <c r="W759" s="71" t="n"/>
      <c r="X759" s="71" t="n"/>
    </row>
    <row r="760">
      <c r="A760" s="72" t="n"/>
      <c r="B760" s="72" t="n"/>
      <c r="C760" s="72" t="n"/>
      <c r="D760" s="72" t="n"/>
      <c r="E760" s="72" t="n"/>
      <c r="F760" s="73" t="n"/>
      <c r="G760" s="73" t="n"/>
      <c r="H760" s="72" t="n"/>
      <c r="I760" s="72" t="n"/>
      <c r="J760" s="72" t="n"/>
      <c r="K760" s="72" t="n"/>
      <c r="L760" s="72" t="n"/>
      <c r="M760" s="72" t="n"/>
      <c r="N760" s="72" t="n"/>
      <c r="O760" s="72" t="n"/>
      <c r="P760" s="72" t="n"/>
      <c r="Q760" s="72" t="n"/>
      <c r="R760" s="73" t="n"/>
      <c r="S760" s="73" t="n"/>
      <c r="T760" s="72" t="n"/>
      <c r="U760" s="72" t="n"/>
      <c r="V760" s="72" t="n"/>
      <c r="W760" s="72" t="n"/>
      <c r="X760" s="72" t="n"/>
    </row>
    <row r="761">
      <c r="A761" s="71" t="n"/>
      <c r="B761" s="71" t="n"/>
      <c r="C761" s="71" t="n"/>
      <c r="D761" s="71" t="n"/>
      <c r="E761" s="71" t="n"/>
      <c r="F761" s="46" t="n"/>
      <c r="G761" s="46" t="n"/>
      <c r="H761" s="71" t="n"/>
      <c r="I761" s="71" t="n"/>
      <c r="J761" s="71" t="n"/>
      <c r="K761" s="71" t="n"/>
      <c r="L761" s="71" t="n"/>
      <c r="M761" s="71" t="n"/>
      <c r="N761" s="71" t="n"/>
      <c r="O761" s="71" t="n"/>
      <c r="P761" s="71" t="n"/>
      <c r="Q761" s="71" t="n"/>
      <c r="R761" s="46" t="n"/>
      <c r="S761" s="46" t="n"/>
      <c r="T761" s="71" t="n"/>
      <c r="U761" s="71" t="n"/>
      <c r="V761" s="71" t="n"/>
      <c r="W761" s="71" t="n"/>
      <c r="X761" s="71" t="n"/>
    </row>
    <row r="762">
      <c r="A762" s="72" t="n"/>
      <c r="B762" s="72" t="n"/>
      <c r="C762" s="72" t="n"/>
      <c r="D762" s="72" t="n"/>
      <c r="E762" s="72" t="n"/>
      <c r="F762" s="73" t="n"/>
      <c r="G762" s="73" t="n"/>
      <c r="H762" s="72" t="n"/>
      <c r="I762" s="72" t="n"/>
      <c r="J762" s="72" t="n"/>
      <c r="K762" s="72" t="n"/>
      <c r="L762" s="72" t="n"/>
      <c r="M762" s="72" t="n"/>
      <c r="N762" s="72" t="n"/>
      <c r="O762" s="72" t="n"/>
      <c r="P762" s="72" t="n"/>
      <c r="Q762" s="72" t="n"/>
      <c r="R762" s="73" t="n"/>
      <c r="S762" s="73" t="n"/>
      <c r="T762" s="72" t="n"/>
      <c r="U762" s="72" t="n"/>
      <c r="V762" s="72" t="n"/>
      <c r="W762" s="72" t="n"/>
      <c r="X762" s="72" t="n"/>
    </row>
    <row r="763">
      <c r="A763" s="71" t="n"/>
      <c r="B763" s="71" t="n"/>
      <c r="C763" s="71" t="n"/>
      <c r="D763" s="71" t="n"/>
      <c r="E763" s="71" t="n"/>
      <c r="F763" s="46" t="n"/>
      <c r="G763" s="46" t="n"/>
      <c r="H763" s="71" t="n"/>
      <c r="I763" s="71" t="n"/>
      <c r="J763" s="71" t="n"/>
      <c r="K763" s="71" t="n"/>
      <c r="L763" s="71" t="n"/>
      <c r="M763" s="71" t="n"/>
      <c r="N763" s="71" t="n"/>
      <c r="O763" s="71" t="n"/>
      <c r="P763" s="71" t="n"/>
      <c r="Q763" s="71" t="n"/>
      <c r="R763" s="46" t="n"/>
      <c r="S763" s="46" t="n"/>
      <c r="T763" s="71" t="n"/>
      <c r="U763" s="71" t="n"/>
      <c r="V763" s="71" t="n"/>
      <c r="W763" s="71" t="n"/>
      <c r="X763" s="71" t="n"/>
    </row>
    <row r="764">
      <c r="A764" s="72" t="n"/>
      <c r="B764" s="72" t="n"/>
      <c r="C764" s="72" t="n"/>
      <c r="D764" s="72" t="n"/>
      <c r="E764" s="72" t="n"/>
      <c r="F764" s="73" t="n"/>
      <c r="G764" s="73" t="n"/>
      <c r="H764" s="72" t="n"/>
      <c r="I764" s="72" t="n"/>
      <c r="J764" s="72" t="n"/>
      <c r="K764" s="72" t="n"/>
      <c r="L764" s="72" t="n"/>
      <c r="M764" s="72" t="n"/>
      <c r="N764" s="72" t="n"/>
      <c r="O764" s="72" t="n"/>
      <c r="P764" s="72" t="n"/>
      <c r="Q764" s="72" t="n"/>
      <c r="R764" s="73" t="n"/>
      <c r="S764" s="73" t="n"/>
      <c r="T764" s="72" t="n"/>
      <c r="U764" s="72" t="n"/>
      <c r="V764" s="72" t="n"/>
      <c r="W764" s="72" t="n"/>
      <c r="X764" s="72" t="n"/>
    </row>
    <row r="765">
      <c r="A765" s="71" t="n"/>
      <c r="B765" s="71" t="n"/>
      <c r="C765" s="71" t="n"/>
      <c r="D765" s="71" t="n"/>
      <c r="E765" s="71" t="n"/>
      <c r="F765" s="46" t="n"/>
      <c r="G765" s="46" t="n"/>
      <c r="H765" s="71" t="n"/>
      <c r="I765" s="71" t="n"/>
      <c r="J765" s="71" t="n"/>
      <c r="K765" s="71" t="n"/>
      <c r="L765" s="71" t="n"/>
      <c r="M765" s="71" t="n"/>
      <c r="N765" s="71" t="n"/>
      <c r="O765" s="71" t="n"/>
      <c r="P765" s="71" t="n"/>
      <c r="Q765" s="71" t="n"/>
      <c r="R765" s="46" t="n"/>
      <c r="S765" s="46" t="n"/>
      <c r="T765" s="71" t="n"/>
      <c r="U765" s="71" t="n"/>
      <c r="V765" s="71" t="n"/>
      <c r="W765" s="71" t="n"/>
      <c r="X765" s="71" t="n"/>
    </row>
    <row r="766">
      <c r="A766" s="72" t="n"/>
      <c r="B766" s="72" t="n"/>
      <c r="C766" s="72" t="n"/>
      <c r="D766" s="72" t="n"/>
      <c r="E766" s="72" t="n"/>
      <c r="F766" s="73" t="n"/>
      <c r="G766" s="73" t="n"/>
      <c r="H766" s="72" t="n"/>
      <c r="I766" s="72" t="n"/>
      <c r="J766" s="72" t="n"/>
      <c r="K766" s="72" t="n"/>
      <c r="L766" s="72" t="n"/>
      <c r="M766" s="72" t="n"/>
      <c r="N766" s="72" t="n"/>
      <c r="O766" s="72" t="n"/>
      <c r="P766" s="72" t="n"/>
      <c r="Q766" s="72" t="n"/>
      <c r="R766" s="73" t="n"/>
      <c r="S766" s="73" t="n"/>
      <c r="T766" s="72" t="n"/>
      <c r="U766" s="72" t="n"/>
      <c r="V766" s="72" t="n"/>
      <c r="W766" s="72" t="n"/>
      <c r="X766" s="72" t="n"/>
    </row>
    <row r="767">
      <c r="A767" s="71" t="n"/>
      <c r="B767" s="71" t="n"/>
      <c r="C767" s="71" t="n"/>
      <c r="D767" s="71" t="n"/>
      <c r="E767" s="71" t="n"/>
      <c r="F767" s="46" t="n"/>
      <c r="G767" s="46" t="n"/>
      <c r="H767" s="71" t="n"/>
      <c r="I767" s="71" t="n"/>
      <c r="J767" s="71" t="n"/>
      <c r="K767" s="71" t="n"/>
      <c r="L767" s="71" t="n"/>
      <c r="M767" s="71" t="n"/>
      <c r="N767" s="71" t="n"/>
      <c r="O767" s="71" t="n"/>
      <c r="P767" s="71" t="n"/>
      <c r="Q767" s="71" t="n"/>
      <c r="R767" s="46" t="n"/>
      <c r="S767" s="46" t="n"/>
      <c r="T767" s="71" t="n"/>
      <c r="U767" s="71" t="n"/>
      <c r="V767" s="71" t="n"/>
      <c r="W767" s="71" t="n"/>
      <c r="X767" s="71" t="n"/>
    </row>
    <row r="768">
      <c r="A768" s="72" t="n"/>
      <c r="B768" s="72" t="n"/>
      <c r="C768" s="72" t="n"/>
      <c r="D768" s="72" t="n"/>
      <c r="E768" s="72" t="n"/>
      <c r="F768" s="73" t="n"/>
      <c r="G768" s="73" t="n"/>
      <c r="H768" s="72" t="n"/>
      <c r="I768" s="72" t="n"/>
      <c r="J768" s="72" t="n"/>
      <c r="K768" s="72" t="n"/>
      <c r="L768" s="72" t="n"/>
      <c r="M768" s="72" t="n"/>
      <c r="N768" s="72" t="n"/>
      <c r="O768" s="72" t="n"/>
      <c r="P768" s="72" t="n"/>
      <c r="Q768" s="72" t="n"/>
      <c r="R768" s="73" t="n"/>
      <c r="S768" s="73" t="n"/>
      <c r="T768" s="72" t="n"/>
      <c r="U768" s="72" t="n"/>
      <c r="V768" s="72" t="n"/>
      <c r="W768" s="72" t="n"/>
      <c r="X768" s="72" t="n"/>
    </row>
    <row r="769">
      <c r="A769" s="71" t="n"/>
      <c r="B769" s="71" t="n"/>
      <c r="C769" s="71" t="n"/>
      <c r="D769" s="71" t="n"/>
      <c r="E769" s="71" t="n"/>
      <c r="F769" s="46" t="n"/>
      <c r="G769" s="46" t="n"/>
      <c r="H769" s="71" t="n"/>
      <c r="I769" s="71" t="n"/>
      <c r="J769" s="71" t="n"/>
      <c r="K769" s="71" t="n"/>
      <c r="L769" s="71" t="n"/>
      <c r="M769" s="71" t="n"/>
      <c r="N769" s="71" t="n"/>
      <c r="O769" s="71" t="n"/>
      <c r="P769" s="71" t="n"/>
      <c r="Q769" s="71" t="n"/>
      <c r="R769" s="46" t="n"/>
      <c r="S769" s="46" t="n"/>
      <c r="T769" s="71" t="n"/>
      <c r="U769" s="71" t="n"/>
      <c r="V769" s="71" t="n"/>
      <c r="W769" s="71" t="n"/>
      <c r="X769" s="71" t="n"/>
    </row>
    <row r="770">
      <c r="A770" s="72" t="n"/>
      <c r="B770" s="72" t="n"/>
      <c r="C770" s="72" t="n"/>
      <c r="D770" s="72" t="n"/>
      <c r="E770" s="72" t="n"/>
      <c r="F770" s="73" t="n"/>
      <c r="G770" s="73" t="n"/>
      <c r="H770" s="72" t="n"/>
      <c r="I770" s="72" t="n"/>
      <c r="J770" s="72" t="n"/>
      <c r="K770" s="72" t="n"/>
      <c r="L770" s="72" t="n"/>
      <c r="M770" s="72" t="n"/>
      <c r="N770" s="72" t="n"/>
      <c r="O770" s="72" t="n"/>
      <c r="P770" s="72" t="n"/>
      <c r="Q770" s="72" t="n"/>
      <c r="R770" s="73" t="n"/>
      <c r="S770" s="73" t="n"/>
      <c r="T770" s="72" t="n"/>
      <c r="U770" s="72" t="n"/>
      <c r="V770" s="72" t="n"/>
      <c r="W770" s="72" t="n"/>
      <c r="X770" s="72" t="n"/>
    </row>
    <row r="771">
      <c r="A771" s="71" t="n"/>
      <c r="B771" s="71" t="n"/>
      <c r="C771" s="71" t="n"/>
      <c r="D771" s="71" t="n"/>
      <c r="E771" s="71" t="n"/>
      <c r="F771" s="46" t="n"/>
      <c r="G771" s="46" t="n"/>
      <c r="H771" s="71" t="n"/>
      <c r="I771" s="71" t="n"/>
      <c r="J771" s="71" t="n"/>
      <c r="K771" s="71" t="n"/>
      <c r="L771" s="71" t="n"/>
      <c r="M771" s="71" t="n"/>
      <c r="N771" s="71" t="n"/>
      <c r="O771" s="71" t="n"/>
      <c r="P771" s="71" t="n"/>
      <c r="Q771" s="71" t="n"/>
      <c r="R771" s="46" t="n"/>
      <c r="S771" s="46" t="n"/>
      <c r="T771" s="71" t="n"/>
      <c r="U771" s="71" t="n"/>
      <c r="V771" s="71" t="n"/>
      <c r="W771" s="71" t="n"/>
      <c r="X771" s="71" t="n"/>
    </row>
    <row r="772">
      <c r="A772" s="72" t="n"/>
      <c r="B772" s="72" t="n"/>
      <c r="C772" s="72" t="n"/>
      <c r="D772" s="72" t="n"/>
      <c r="E772" s="72" t="n"/>
      <c r="F772" s="73" t="n"/>
      <c r="G772" s="73" t="n"/>
      <c r="H772" s="72" t="n"/>
      <c r="I772" s="72" t="n"/>
      <c r="J772" s="72" t="n"/>
      <c r="K772" s="72" t="n"/>
      <c r="L772" s="72" t="n"/>
      <c r="M772" s="72" t="n"/>
      <c r="N772" s="72" t="n"/>
      <c r="O772" s="72" t="n"/>
      <c r="P772" s="72" t="n"/>
      <c r="Q772" s="72" t="n"/>
      <c r="R772" s="73" t="n"/>
      <c r="S772" s="73" t="n"/>
      <c r="T772" s="72" t="n"/>
      <c r="U772" s="72" t="n"/>
      <c r="V772" s="72" t="n"/>
      <c r="W772" s="72" t="n"/>
      <c r="X772" s="72" t="n"/>
    </row>
    <row r="773">
      <c r="A773" s="71" t="n"/>
      <c r="B773" s="71" t="n"/>
      <c r="C773" s="71" t="n"/>
      <c r="D773" s="71" t="n"/>
      <c r="E773" s="71" t="n"/>
      <c r="F773" s="46" t="n"/>
      <c r="G773" s="46" t="n"/>
      <c r="H773" s="71" t="n"/>
      <c r="I773" s="71" t="n"/>
      <c r="J773" s="71" t="n"/>
      <c r="K773" s="71" t="n"/>
      <c r="L773" s="71" t="n"/>
      <c r="M773" s="71" t="n"/>
      <c r="N773" s="71" t="n"/>
      <c r="O773" s="71" t="n"/>
      <c r="P773" s="71" t="n"/>
      <c r="Q773" s="71" t="n"/>
      <c r="R773" s="46" t="n"/>
      <c r="S773" s="46" t="n"/>
      <c r="T773" s="71" t="n"/>
      <c r="U773" s="71" t="n"/>
      <c r="V773" s="71" t="n"/>
      <c r="W773" s="71" t="n"/>
      <c r="X773" s="71" t="n"/>
    </row>
    <row r="774">
      <c r="A774" s="72" t="n"/>
      <c r="B774" s="72" t="n"/>
      <c r="C774" s="72" t="n"/>
      <c r="D774" s="72" t="n"/>
      <c r="E774" s="72" t="n"/>
      <c r="F774" s="73" t="n"/>
      <c r="G774" s="73" t="n"/>
      <c r="H774" s="72" t="n"/>
      <c r="I774" s="72" t="n"/>
      <c r="J774" s="72" t="n"/>
      <c r="K774" s="72" t="n"/>
      <c r="L774" s="72" t="n"/>
      <c r="M774" s="72" t="n"/>
      <c r="N774" s="72" t="n"/>
      <c r="O774" s="72" t="n"/>
      <c r="P774" s="72" t="n"/>
      <c r="Q774" s="72" t="n"/>
      <c r="R774" s="73" t="n"/>
      <c r="S774" s="73" t="n"/>
      <c r="T774" s="72" t="n"/>
      <c r="U774" s="72" t="n"/>
      <c r="V774" s="72" t="n"/>
      <c r="W774" s="72" t="n"/>
      <c r="X774" s="72" t="n"/>
    </row>
    <row r="775">
      <c r="A775" s="71" t="n"/>
      <c r="B775" s="71" t="n"/>
      <c r="C775" s="71" t="n"/>
      <c r="D775" s="71" t="n"/>
      <c r="E775" s="71" t="n"/>
      <c r="F775" s="46" t="n"/>
      <c r="G775" s="46" t="n"/>
      <c r="H775" s="71" t="n"/>
      <c r="I775" s="71" t="n"/>
      <c r="J775" s="71" t="n"/>
      <c r="K775" s="71" t="n"/>
      <c r="L775" s="71" t="n"/>
      <c r="M775" s="71" t="n"/>
      <c r="N775" s="71" t="n"/>
      <c r="O775" s="71" t="n"/>
      <c r="P775" s="71" t="n"/>
      <c r="Q775" s="71" t="n"/>
      <c r="R775" s="46" t="n"/>
      <c r="S775" s="46" t="n"/>
      <c r="T775" s="71" t="n"/>
      <c r="U775" s="71" t="n"/>
      <c r="V775" s="71" t="n"/>
      <c r="W775" s="71" t="n"/>
      <c r="X775" s="71" t="n"/>
    </row>
    <row r="776">
      <c r="A776" s="72" t="n"/>
      <c r="B776" s="72" t="n"/>
      <c r="C776" s="72" t="n"/>
      <c r="D776" s="72" t="n"/>
      <c r="E776" s="72" t="n"/>
      <c r="F776" s="73" t="n"/>
      <c r="G776" s="73" t="n"/>
      <c r="H776" s="72" t="n"/>
      <c r="I776" s="72" t="n"/>
      <c r="J776" s="72" t="n"/>
      <c r="K776" s="72" t="n"/>
      <c r="L776" s="72" t="n"/>
      <c r="M776" s="72" t="n"/>
      <c r="N776" s="72" t="n"/>
      <c r="O776" s="72" t="n"/>
      <c r="P776" s="72" t="n"/>
      <c r="Q776" s="72" t="n"/>
      <c r="R776" s="73" t="n"/>
      <c r="S776" s="73" t="n"/>
      <c r="T776" s="72" t="n"/>
      <c r="U776" s="72" t="n"/>
      <c r="V776" s="72" t="n"/>
      <c r="W776" s="72" t="n"/>
      <c r="X776" s="72" t="n"/>
    </row>
    <row r="777">
      <c r="A777" s="71" t="n"/>
      <c r="B777" s="71" t="n"/>
      <c r="C777" s="71" t="n"/>
      <c r="D777" s="71" t="n"/>
      <c r="E777" s="71" t="n"/>
      <c r="F777" s="46" t="n"/>
      <c r="G777" s="46" t="n"/>
      <c r="H777" s="71" t="n"/>
      <c r="I777" s="71" t="n"/>
      <c r="J777" s="71" t="n"/>
      <c r="K777" s="71" t="n"/>
      <c r="L777" s="71" t="n"/>
      <c r="M777" s="71" t="n"/>
      <c r="N777" s="71" t="n"/>
      <c r="O777" s="71" t="n"/>
      <c r="P777" s="71" t="n"/>
      <c r="Q777" s="71" t="n"/>
      <c r="R777" s="46" t="n"/>
      <c r="S777" s="46" t="n"/>
      <c r="T777" s="71" t="n"/>
      <c r="U777" s="71" t="n"/>
      <c r="V777" s="71" t="n"/>
      <c r="W777" s="71" t="n"/>
      <c r="X777" s="71" t="n"/>
    </row>
    <row r="778">
      <c r="A778" s="72" t="n"/>
      <c r="B778" s="72" t="n"/>
      <c r="C778" s="72" t="n"/>
      <c r="D778" s="72" t="n"/>
      <c r="E778" s="72" t="n"/>
      <c r="F778" s="73" t="n"/>
      <c r="G778" s="73" t="n"/>
      <c r="H778" s="72" t="n"/>
      <c r="I778" s="72" t="n"/>
      <c r="J778" s="72" t="n"/>
      <c r="K778" s="72" t="n"/>
      <c r="L778" s="72" t="n"/>
      <c r="M778" s="72" t="n"/>
      <c r="N778" s="72" t="n"/>
      <c r="O778" s="72" t="n"/>
      <c r="P778" s="72" t="n"/>
      <c r="Q778" s="72" t="n"/>
      <c r="R778" s="73" t="n"/>
      <c r="S778" s="73" t="n"/>
      <c r="T778" s="72" t="n"/>
      <c r="U778" s="72" t="n"/>
      <c r="V778" s="72" t="n"/>
      <c r="W778" s="72" t="n"/>
      <c r="X778" s="72" t="n"/>
    </row>
    <row r="779">
      <c r="A779" s="71" t="n"/>
      <c r="B779" s="71" t="n"/>
      <c r="C779" s="71" t="n"/>
      <c r="D779" s="71" t="n"/>
      <c r="E779" s="71" t="n"/>
      <c r="F779" s="46" t="n"/>
      <c r="G779" s="46" t="n"/>
      <c r="H779" s="71" t="n"/>
      <c r="I779" s="71" t="n"/>
      <c r="J779" s="71" t="n"/>
      <c r="K779" s="71" t="n"/>
      <c r="L779" s="71" t="n"/>
      <c r="M779" s="71" t="n"/>
      <c r="N779" s="71" t="n"/>
      <c r="O779" s="71" t="n"/>
      <c r="P779" s="71" t="n"/>
      <c r="Q779" s="71" t="n"/>
      <c r="R779" s="46" t="n"/>
      <c r="S779" s="46" t="n"/>
      <c r="T779" s="71" t="n"/>
      <c r="U779" s="71" t="n"/>
      <c r="V779" s="71" t="n"/>
      <c r="W779" s="71" t="n"/>
      <c r="X779" s="71" t="n"/>
    </row>
    <row r="780">
      <c r="A780" s="72" t="n"/>
      <c r="B780" s="72" t="n"/>
      <c r="C780" s="72" t="n"/>
      <c r="D780" s="72" t="n"/>
      <c r="E780" s="72" t="n"/>
      <c r="F780" s="73" t="n"/>
      <c r="G780" s="73" t="n"/>
      <c r="H780" s="72" t="n"/>
      <c r="I780" s="72" t="n"/>
      <c r="J780" s="72" t="n"/>
      <c r="K780" s="72" t="n"/>
      <c r="L780" s="72" t="n"/>
      <c r="M780" s="72" t="n"/>
      <c r="N780" s="72" t="n"/>
      <c r="O780" s="72" t="n"/>
      <c r="P780" s="72" t="n"/>
      <c r="Q780" s="72" t="n"/>
      <c r="R780" s="73" t="n"/>
      <c r="S780" s="73" t="n"/>
      <c r="T780" s="72" t="n"/>
      <c r="U780" s="72" t="n"/>
      <c r="V780" s="72" t="n"/>
      <c r="W780" s="72" t="n"/>
      <c r="X780" s="72" t="n"/>
    </row>
    <row r="781">
      <c r="A781" s="71" t="n"/>
      <c r="B781" s="71" t="n"/>
      <c r="C781" s="71" t="n"/>
      <c r="D781" s="71" t="n"/>
      <c r="E781" s="71" t="n"/>
      <c r="F781" s="46" t="n"/>
      <c r="G781" s="46" t="n"/>
      <c r="H781" s="71" t="n"/>
      <c r="I781" s="71" t="n"/>
      <c r="J781" s="71" t="n"/>
      <c r="K781" s="71" t="n"/>
      <c r="L781" s="71" t="n"/>
      <c r="M781" s="71" t="n"/>
      <c r="N781" s="71" t="n"/>
      <c r="O781" s="71" t="n"/>
      <c r="P781" s="71" t="n"/>
      <c r="Q781" s="71" t="n"/>
      <c r="R781" s="46" t="n"/>
      <c r="S781" s="46" t="n"/>
      <c r="T781" s="71" t="n"/>
      <c r="U781" s="71" t="n"/>
      <c r="V781" s="71" t="n"/>
      <c r="W781" s="71" t="n"/>
      <c r="X781" s="71" t="n"/>
    </row>
    <row r="782">
      <c r="A782" s="72" t="n"/>
      <c r="B782" s="72" t="n"/>
      <c r="C782" s="72" t="n"/>
      <c r="D782" s="72" t="n"/>
      <c r="E782" s="72" t="n"/>
      <c r="F782" s="73" t="n"/>
      <c r="G782" s="73" t="n"/>
      <c r="H782" s="72" t="n"/>
      <c r="I782" s="72" t="n"/>
      <c r="J782" s="72" t="n"/>
      <c r="K782" s="72" t="n"/>
      <c r="L782" s="72" t="n"/>
      <c r="M782" s="72" t="n"/>
      <c r="N782" s="72" t="n"/>
      <c r="O782" s="72" t="n"/>
      <c r="P782" s="72" t="n"/>
      <c r="Q782" s="72" t="n"/>
      <c r="R782" s="73" t="n"/>
      <c r="S782" s="73" t="n"/>
      <c r="T782" s="72" t="n"/>
      <c r="U782" s="72" t="n"/>
      <c r="V782" s="72" t="n"/>
      <c r="W782" s="72" t="n"/>
      <c r="X782" s="72" t="n"/>
    </row>
    <row r="783">
      <c r="A783" s="71" t="n"/>
      <c r="B783" s="71" t="n"/>
      <c r="C783" s="71" t="n"/>
      <c r="D783" s="71" t="n"/>
      <c r="E783" s="71" t="n"/>
      <c r="F783" s="46" t="n"/>
      <c r="G783" s="46" t="n"/>
      <c r="H783" s="71" t="n"/>
      <c r="I783" s="71" t="n"/>
      <c r="J783" s="71" t="n"/>
      <c r="K783" s="71" t="n"/>
      <c r="L783" s="71" t="n"/>
      <c r="M783" s="71" t="n"/>
      <c r="N783" s="71" t="n"/>
      <c r="O783" s="71" t="n"/>
      <c r="P783" s="71" t="n"/>
      <c r="Q783" s="71" t="n"/>
      <c r="R783" s="46" t="n"/>
      <c r="S783" s="46" t="n"/>
      <c r="T783" s="71" t="n"/>
      <c r="U783" s="71" t="n"/>
      <c r="V783" s="71" t="n"/>
      <c r="W783" s="71" t="n"/>
      <c r="X783" s="71" t="n"/>
    </row>
    <row r="784">
      <c r="A784" s="72" t="n"/>
      <c r="B784" s="72" t="n"/>
      <c r="C784" s="72" t="n"/>
      <c r="D784" s="72" t="n"/>
      <c r="E784" s="72" t="n"/>
      <c r="F784" s="73" t="n"/>
      <c r="G784" s="73" t="n"/>
      <c r="H784" s="72" t="n"/>
      <c r="I784" s="72" t="n"/>
      <c r="J784" s="72" t="n"/>
      <c r="K784" s="72" t="n"/>
      <c r="L784" s="72" t="n"/>
      <c r="M784" s="72" t="n"/>
      <c r="N784" s="72" t="n"/>
      <c r="O784" s="72" t="n"/>
      <c r="P784" s="72" t="n"/>
      <c r="Q784" s="72" t="n"/>
      <c r="R784" s="73" t="n"/>
      <c r="S784" s="73" t="n"/>
      <c r="T784" s="72" t="n"/>
      <c r="U784" s="72" t="n"/>
      <c r="V784" s="72" t="n"/>
      <c r="W784" s="72" t="n"/>
      <c r="X784" s="72" t="n"/>
    </row>
    <row r="785">
      <c r="A785" s="71" t="n"/>
      <c r="B785" s="71" t="n"/>
      <c r="C785" s="71" t="n"/>
      <c r="D785" s="71" t="n"/>
      <c r="E785" s="71" t="n"/>
      <c r="F785" s="46" t="n"/>
      <c r="G785" s="46" t="n"/>
      <c r="H785" s="71" t="n"/>
      <c r="I785" s="71" t="n"/>
      <c r="J785" s="71" t="n"/>
      <c r="K785" s="71" t="n"/>
      <c r="L785" s="71" t="n"/>
      <c r="M785" s="71" t="n"/>
      <c r="N785" s="71" t="n"/>
      <c r="O785" s="71" t="n"/>
      <c r="P785" s="71" t="n"/>
      <c r="Q785" s="71" t="n"/>
      <c r="R785" s="46" t="n"/>
      <c r="S785" s="46" t="n"/>
      <c r="T785" s="71" t="n"/>
      <c r="U785" s="71" t="n"/>
      <c r="V785" s="71" t="n"/>
      <c r="W785" s="71" t="n"/>
      <c r="X785" s="71" t="n"/>
    </row>
    <row r="786">
      <c r="A786" s="72" t="n"/>
      <c r="B786" s="72" t="n"/>
      <c r="C786" s="72" t="n"/>
      <c r="D786" s="72" t="n"/>
      <c r="E786" s="72" t="n"/>
      <c r="F786" s="73" t="n"/>
      <c r="G786" s="73" t="n"/>
      <c r="H786" s="72" t="n"/>
      <c r="I786" s="72" t="n"/>
      <c r="J786" s="72" t="n"/>
      <c r="K786" s="72" t="n"/>
      <c r="L786" s="72" t="n"/>
      <c r="M786" s="72" t="n"/>
      <c r="N786" s="72" t="n"/>
      <c r="O786" s="72" t="n"/>
      <c r="P786" s="72" t="n"/>
      <c r="Q786" s="72" t="n"/>
      <c r="R786" s="73" t="n"/>
      <c r="S786" s="73" t="n"/>
      <c r="T786" s="72" t="n"/>
      <c r="U786" s="72" t="n"/>
      <c r="V786" s="72" t="n"/>
      <c r="W786" s="72" t="n"/>
      <c r="X786" s="72" t="n"/>
    </row>
    <row r="787">
      <c r="A787" s="71" t="n"/>
      <c r="B787" s="71" t="n"/>
      <c r="C787" s="71" t="n"/>
      <c r="D787" s="71" t="n"/>
      <c r="E787" s="71" t="n"/>
      <c r="F787" s="46" t="n"/>
      <c r="G787" s="46" t="n"/>
      <c r="H787" s="71" t="n"/>
      <c r="I787" s="71" t="n"/>
      <c r="J787" s="71" t="n"/>
      <c r="K787" s="71" t="n"/>
      <c r="L787" s="71" t="n"/>
      <c r="M787" s="71" t="n"/>
      <c r="N787" s="71" t="n"/>
      <c r="O787" s="71" t="n"/>
      <c r="P787" s="71" t="n"/>
      <c r="Q787" s="71" t="n"/>
      <c r="R787" s="46" t="n"/>
      <c r="S787" s="46" t="n"/>
      <c r="T787" s="71" t="n"/>
      <c r="U787" s="71" t="n"/>
      <c r="V787" s="71" t="n"/>
      <c r="W787" s="71" t="n"/>
      <c r="X787" s="71" t="n"/>
    </row>
    <row r="788">
      <c r="A788" s="72" t="n"/>
      <c r="B788" s="72" t="n"/>
      <c r="C788" s="72" t="n"/>
      <c r="D788" s="72" t="n"/>
      <c r="E788" s="72" t="n"/>
      <c r="F788" s="73" t="n"/>
      <c r="G788" s="73" t="n"/>
      <c r="H788" s="72" t="n"/>
      <c r="I788" s="72" t="n"/>
      <c r="J788" s="72" t="n"/>
      <c r="K788" s="72" t="n"/>
      <c r="L788" s="72" t="n"/>
      <c r="M788" s="72" t="n"/>
      <c r="N788" s="72" t="n"/>
      <c r="O788" s="72" t="n"/>
      <c r="P788" s="72" t="n"/>
      <c r="Q788" s="72" t="n"/>
      <c r="R788" s="73" t="n"/>
      <c r="S788" s="73" t="n"/>
      <c r="T788" s="72" t="n"/>
      <c r="U788" s="72" t="n"/>
      <c r="V788" s="72" t="n"/>
      <c r="W788" s="72" t="n"/>
      <c r="X788" s="72" t="n"/>
    </row>
    <row r="789">
      <c r="A789" s="71" t="n"/>
      <c r="B789" s="71" t="n"/>
      <c r="C789" s="71" t="n"/>
      <c r="D789" s="71" t="n"/>
      <c r="E789" s="71" t="n"/>
      <c r="F789" s="46" t="n"/>
      <c r="G789" s="46" t="n"/>
      <c r="H789" s="71" t="n"/>
      <c r="I789" s="71" t="n"/>
      <c r="J789" s="71" t="n"/>
      <c r="K789" s="71" t="n"/>
      <c r="L789" s="71" t="n"/>
      <c r="M789" s="71" t="n"/>
      <c r="N789" s="71" t="n"/>
      <c r="O789" s="71" t="n"/>
      <c r="P789" s="71" t="n"/>
      <c r="Q789" s="71" t="n"/>
      <c r="R789" s="46" t="n"/>
      <c r="S789" s="46" t="n"/>
      <c r="T789" s="71" t="n"/>
      <c r="U789" s="71" t="n"/>
      <c r="V789" s="71" t="n"/>
      <c r="W789" s="71" t="n"/>
      <c r="X789" s="71" t="n"/>
    </row>
    <row r="790">
      <c r="A790" s="72" t="n"/>
      <c r="B790" s="72" t="n"/>
      <c r="C790" s="72" t="n"/>
      <c r="D790" s="72" t="n"/>
      <c r="E790" s="72" t="n"/>
      <c r="F790" s="73" t="n"/>
      <c r="G790" s="73" t="n"/>
      <c r="H790" s="72" t="n"/>
      <c r="I790" s="72" t="n"/>
      <c r="J790" s="72" t="n"/>
      <c r="K790" s="72" t="n"/>
      <c r="L790" s="72" t="n"/>
      <c r="M790" s="72" t="n"/>
      <c r="N790" s="72" t="n"/>
      <c r="O790" s="72" t="n"/>
      <c r="P790" s="72" t="n"/>
      <c r="Q790" s="72" t="n"/>
      <c r="R790" s="73" t="n"/>
      <c r="S790" s="73" t="n"/>
      <c r="T790" s="72" t="n"/>
      <c r="U790" s="72" t="n"/>
      <c r="V790" s="72" t="n"/>
      <c r="W790" s="72" t="n"/>
      <c r="X790" s="72" t="n"/>
    </row>
    <row r="791">
      <c r="A791" s="71" t="n"/>
      <c r="B791" s="71" t="n"/>
      <c r="C791" s="71" t="n"/>
      <c r="D791" s="71" t="n"/>
      <c r="E791" s="71" t="n"/>
      <c r="F791" s="46" t="n"/>
      <c r="G791" s="46" t="n"/>
      <c r="H791" s="71" t="n"/>
      <c r="I791" s="71" t="n"/>
      <c r="J791" s="71" t="n"/>
      <c r="K791" s="71" t="n"/>
      <c r="L791" s="71" t="n"/>
      <c r="M791" s="71" t="n"/>
      <c r="N791" s="71" t="n"/>
      <c r="O791" s="71" t="n"/>
      <c r="P791" s="71" t="n"/>
      <c r="Q791" s="71" t="n"/>
      <c r="R791" s="46" t="n"/>
      <c r="S791" s="46" t="n"/>
      <c r="T791" s="71" t="n"/>
      <c r="U791" s="71" t="n"/>
      <c r="V791" s="71" t="n"/>
      <c r="W791" s="71" t="n"/>
      <c r="X791" s="71" t="n"/>
    </row>
    <row r="792">
      <c r="A792" s="72" t="n"/>
      <c r="B792" s="72" t="n"/>
      <c r="C792" s="72" t="n"/>
      <c r="D792" s="72" t="n"/>
      <c r="E792" s="72" t="n"/>
      <c r="F792" s="73" t="n"/>
      <c r="G792" s="73" t="n"/>
      <c r="H792" s="72" t="n"/>
      <c r="I792" s="72" t="n"/>
      <c r="J792" s="72" t="n"/>
      <c r="K792" s="72" t="n"/>
      <c r="L792" s="72" t="n"/>
      <c r="M792" s="72" t="n"/>
      <c r="N792" s="72" t="n"/>
      <c r="O792" s="72" t="n"/>
      <c r="P792" s="72" t="n"/>
      <c r="Q792" s="72" t="n"/>
      <c r="R792" s="73" t="n"/>
      <c r="S792" s="73" t="n"/>
      <c r="T792" s="72" t="n"/>
      <c r="U792" s="72" t="n"/>
      <c r="V792" s="72" t="n"/>
      <c r="W792" s="72" t="n"/>
      <c r="X792" s="72" t="n"/>
    </row>
    <row r="793">
      <c r="A793" s="71" t="n"/>
      <c r="B793" s="71" t="n"/>
      <c r="C793" s="71" t="n"/>
      <c r="D793" s="71" t="n"/>
      <c r="E793" s="71" t="n"/>
      <c r="F793" s="46" t="n"/>
      <c r="G793" s="46" t="n"/>
      <c r="H793" s="71" t="n"/>
      <c r="I793" s="71" t="n"/>
      <c r="J793" s="71" t="n"/>
      <c r="K793" s="71" t="n"/>
      <c r="L793" s="71" t="n"/>
      <c r="M793" s="71" t="n"/>
      <c r="N793" s="71" t="n"/>
      <c r="O793" s="71" t="n"/>
      <c r="P793" s="71" t="n"/>
      <c r="Q793" s="71" t="n"/>
      <c r="R793" s="46" t="n"/>
      <c r="S793" s="46" t="n"/>
      <c r="T793" s="71" t="n"/>
      <c r="U793" s="71" t="n"/>
      <c r="V793" s="71" t="n"/>
      <c r="W793" s="71" t="n"/>
      <c r="X793" s="71" t="n"/>
    </row>
    <row r="794">
      <c r="A794" s="72" t="n"/>
      <c r="B794" s="72" t="n"/>
      <c r="C794" s="72" t="n"/>
      <c r="D794" s="72" t="n"/>
      <c r="E794" s="72" t="n"/>
      <c r="F794" s="73" t="n"/>
      <c r="G794" s="73" t="n"/>
      <c r="H794" s="72" t="n"/>
      <c r="I794" s="72" t="n"/>
      <c r="J794" s="72" t="n"/>
      <c r="K794" s="72" t="n"/>
      <c r="L794" s="72" t="n"/>
      <c r="M794" s="72" t="n"/>
      <c r="N794" s="72" t="n"/>
      <c r="O794" s="72" t="n"/>
      <c r="P794" s="72" t="n"/>
      <c r="Q794" s="72" t="n"/>
      <c r="R794" s="73" t="n"/>
      <c r="S794" s="73" t="n"/>
      <c r="T794" s="72" t="n"/>
      <c r="U794" s="72" t="n"/>
      <c r="V794" s="72" t="n"/>
      <c r="W794" s="72" t="n"/>
      <c r="X794" s="72" t="n"/>
    </row>
    <row r="795">
      <c r="A795" s="71" t="n"/>
      <c r="B795" s="71" t="n"/>
      <c r="C795" s="71" t="n"/>
      <c r="D795" s="71" t="n"/>
      <c r="E795" s="71" t="n"/>
      <c r="F795" s="46" t="n"/>
      <c r="G795" s="46" t="n"/>
      <c r="H795" s="71" t="n"/>
      <c r="I795" s="71" t="n"/>
      <c r="J795" s="71" t="n"/>
      <c r="K795" s="71" t="n"/>
      <c r="L795" s="71" t="n"/>
      <c r="M795" s="71" t="n"/>
      <c r="N795" s="71" t="n"/>
      <c r="O795" s="71" t="n"/>
      <c r="P795" s="71" t="n"/>
      <c r="Q795" s="71" t="n"/>
      <c r="R795" s="46" t="n"/>
      <c r="S795" s="46" t="n"/>
      <c r="T795" s="71" t="n"/>
      <c r="U795" s="71" t="n"/>
      <c r="V795" s="71" t="n"/>
      <c r="W795" s="71" t="n"/>
      <c r="X795" s="71" t="n"/>
    </row>
    <row r="796">
      <c r="A796" s="72" t="n"/>
      <c r="B796" s="72" t="n"/>
      <c r="C796" s="72" t="n"/>
      <c r="D796" s="72" t="n"/>
      <c r="E796" s="72" t="n"/>
      <c r="F796" s="73" t="n"/>
      <c r="G796" s="73" t="n"/>
      <c r="H796" s="72" t="n"/>
      <c r="I796" s="72" t="n"/>
      <c r="J796" s="72" t="n"/>
      <c r="K796" s="72" t="n"/>
      <c r="L796" s="72" t="n"/>
      <c r="M796" s="72" t="n"/>
      <c r="N796" s="72" t="n"/>
      <c r="O796" s="72" t="n"/>
      <c r="P796" s="72" t="n"/>
      <c r="Q796" s="72" t="n"/>
      <c r="R796" s="73" t="n"/>
      <c r="S796" s="73" t="n"/>
      <c r="T796" s="72" t="n"/>
      <c r="U796" s="72" t="n"/>
      <c r="V796" s="72" t="n"/>
      <c r="W796" s="72" t="n"/>
      <c r="X796" s="72" t="n"/>
    </row>
    <row r="797">
      <c r="A797" s="71" t="n"/>
      <c r="B797" s="71" t="n"/>
      <c r="C797" s="71" t="n"/>
      <c r="D797" s="71" t="n"/>
      <c r="E797" s="71" t="n"/>
      <c r="F797" s="46" t="n"/>
      <c r="G797" s="46" t="n"/>
      <c r="H797" s="71" t="n"/>
      <c r="I797" s="71" t="n"/>
      <c r="J797" s="71" t="n"/>
      <c r="K797" s="71" t="n"/>
      <c r="L797" s="71" t="n"/>
      <c r="M797" s="71" t="n"/>
      <c r="N797" s="71" t="n"/>
      <c r="O797" s="71" t="n"/>
      <c r="P797" s="71" t="n"/>
      <c r="Q797" s="71" t="n"/>
      <c r="R797" s="46" t="n"/>
      <c r="S797" s="46" t="n"/>
      <c r="T797" s="71" t="n"/>
      <c r="U797" s="71" t="n"/>
      <c r="V797" s="71" t="n"/>
      <c r="W797" s="71" t="n"/>
      <c r="X797" s="71" t="n"/>
    </row>
    <row r="798">
      <c r="A798" s="72" t="n"/>
      <c r="B798" s="72" t="n"/>
      <c r="C798" s="72" t="n"/>
      <c r="D798" s="72" t="n"/>
      <c r="E798" s="72" t="n"/>
      <c r="F798" s="73" t="n"/>
      <c r="G798" s="73" t="n"/>
      <c r="H798" s="72" t="n"/>
      <c r="I798" s="72" t="n"/>
      <c r="J798" s="72" t="n"/>
      <c r="K798" s="72" t="n"/>
      <c r="L798" s="72" t="n"/>
      <c r="M798" s="72" t="n"/>
      <c r="N798" s="72" t="n"/>
      <c r="O798" s="72" t="n"/>
      <c r="P798" s="72" t="n"/>
      <c r="Q798" s="72" t="n"/>
      <c r="R798" s="73" t="n"/>
      <c r="S798" s="73" t="n"/>
      <c r="T798" s="72" t="n"/>
      <c r="U798" s="72" t="n"/>
      <c r="V798" s="72" t="n"/>
      <c r="W798" s="72" t="n"/>
      <c r="X798" s="72" t="n"/>
    </row>
    <row r="799">
      <c r="A799" s="71" t="n"/>
      <c r="B799" s="71" t="n"/>
      <c r="C799" s="71" t="n"/>
      <c r="D799" s="71" t="n"/>
      <c r="E799" s="71" t="n"/>
      <c r="F799" s="46" t="n"/>
      <c r="G799" s="46" t="n"/>
      <c r="H799" s="71" t="n"/>
      <c r="I799" s="71" t="n"/>
      <c r="J799" s="71" t="n"/>
      <c r="K799" s="71" t="n"/>
      <c r="L799" s="71" t="n"/>
      <c r="M799" s="71" t="n"/>
      <c r="N799" s="71" t="n"/>
      <c r="O799" s="71" t="n"/>
      <c r="P799" s="71" t="n"/>
      <c r="Q799" s="71" t="n"/>
      <c r="R799" s="46" t="n"/>
      <c r="S799" s="46" t="n"/>
      <c r="T799" s="71" t="n"/>
      <c r="U799" s="71" t="n"/>
      <c r="V799" s="71" t="n"/>
      <c r="W799" s="71" t="n"/>
      <c r="X799" s="71" t="n"/>
    </row>
    <row r="800">
      <c r="A800" s="72" t="n"/>
      <c r="B800" s="72" t="n"/>
      <c r="C800" s="72" t="n"/>
      <c r="D800" s="72" t="n"/>
      <c r="E800" s="72" t="n"/>
      <c r="F800" s="73" t="n"/>
      <c r="G800" s="73" t="n"/>
      <c r="H800" s="72" t="n"/>
      <c r="I800" s="72" t="n"/>
      <c r="J800" s="72" t="n"/>
      <c r="K800" s="72" t="n"/>
      <c r="L800" s="72" t="n"/>
      <c r="M800" s="72" t="n"/>
      <c r="N800" s="72" t="n"/>
      <c r="O800" s="72" t="n"/>
      <c r="P800" s="72" t="n"/>
      <c r="Q800" s="72" t="n"/>
      <c r="R800" s="73" t="n"/>
      <c r="S800" s="73" t="n"/>
      <c r="T800" s="72" t="n"/>
      <c r="U800" s="72" t="n"/>
      <c r="V800" s="72" t="n"/>
      <c r="W800" s="72" t="n"/>
      <c r="X800" s="72" t="n"/>
    </row>
    <row r="801">
      <c r="A801" s="71" t="n"/>
      <c r="B801" s="71" t="n"/>
      <c r="C801" s="71" t="n"/>
      <c r="D801" s="71" t="n"/>
      <c r="E801" s="71" t="n"/>
      <c r="F801" s="46" t="n"/>
      <c r="G801" s="46" t="n"/>
      <c r="H801" s="71" t="n"/>
      <c r="I801" s="71" t="n"/>
      <c r="J801" s="71" t="n"/>
      <c r="K801" s="71" t="n"/>
      <c r="L801" s="71" t="n"/>
      <c r="M801" s="71" t="n"/>
      <c r="N801" s="71" t="n"/>
      <c r="O801" s="71" t="n"/>
      <c r="P801" s="71" t="n"/>
      <c r="Q801" s="71" t="n"/>
      <c r="R801" s="46" t="n"/>
      <c r="S801" s="46" t="n"/>
      <c r="T801" s="71" t="n"/>
      <c r="U801" s="71" t="n"/>
      <c r="V801" s="71" t="n"/>
      <c r="W801" s="71" t="n"/>
      <c r="X801" s="71" t="n"/>
    </row>
    <row r="802">
      <c r="A802" s="72" t="n"/>
      <c r="B802" s="72" t="n"/>
      <c r="C802" s="72" t="n"/>
      <c r="D802" s="72" t="n"/>
      <c r="E802" s="72" t="n"/>
      <c r="F802" s="73" t="n"/>
      <c r="G802" s="73" t="n"/>
      <c r="H802" s="72" t="n"/>
      <c r="I802" s="72" t="n"/>
      <c r="J802" s="72" t="n"/>
      <c r="K802" s="72" t="n"/>
      <c r="L802" s="72" t="n"/>
      <c r="M802" s="72" t="n"/>
      <c r="N802" s="72" t="n"/>
      <c r="O802" s="72" t="n"/>
      <c r="P802" s="72" t="n"/>
      <c r="Q802" s="72" t="n"/>
      <c r="R802" s="73" t="n"/>
      <c r="S802" s="73" t="n"/>
      <c r="T802" s="72" t="n"/>
      <c r="U802" s="72" t="n"/>
      <c r="V802" s="72" t="n"/>
      <c r="W802" s="72" t="n"/>
      <c r="X802" s="72" t="n"/>
    </row>
    <row r="803">
      <c r="A803" s="71" t="n"/>
      <c r="B803" s="71" t="n"/>
      <c r="C803" s="71" t="n"/>
      <c r="D803" s="71" t="n"/>
      <c r="E803" s="71" t="n"/>
      <c r="F803" s="46" t="n"/>
      <c r="G803" s="46" t="n"/>
      <c r="H803" s="71" t="n"/>
      <c r="I803" s="71" t="n"/>
      <c r="J803" s="71" t="n"/>
      <c r="K803" s="71" t="n"/>
      <c r="L803" s="71" t="n"/>
      <c r="M803" s="71" t="n"/>
      <c r="N803" s="71" t="n"/>
      <c r="O803" s="71" t="n"/>
      <c r="P803" s="71" t="n"/>
      <c r="Q803" s="71" t="n"/>
      <c r="R803" s="46" t="n"/>
      <c r="S803" s="46" t="n"/>
      <c r="T803" s="71" t="n"/>
      <c r="U803" s="71" t="n"/>
      <c r="V803" s="71" t="n"/>
      <c r="W803" s="71" t="n"/>
      <c r="X803" s="71" t="n"/>
    </row>
    <row r="804">
      <c r="A804" s="72" t="n"/>
      <c r="B804" s="72" t="n"/>
      <c r="C804" s="72" t="n"/>
      <c r="D804" s="72" t="n"/>
      <c r="E804" s="72" t="n"/>
      <c r="F804" s="73" t="n"/>
      <c r="G804" s="73" t="n"/>
      <c r="H804" s="72" t="n"/>
      <c r="I804" s="72" t="n"/>
      <c r="J804" s="72" t="n"/>
      <c r="K804" s="72" t="n"/>
      <c r="L804" s="72" t="n"/>
      <c r="M804" s="72" t="n"/>
      <c r="N804" s="72" t="n"/>
      <c r="O804" s="72" t="n"/>
      <c r="P804" s="72" t="n"/>
      <c r="Q804" s="72" t="n"/>
      <c r="R804" s="73" t="n"/>
      <c r="S804" s="73" t="n"/>
      <c r="T804" s="72" t="n"/>
      <c r="U804" s="72" t="n"/>
      <c r="V804" s="72" t="n"/>
      <c r="W804" s="72" t="n"/>
      <c r="X804" s="72" t="n"/>
    </row>
    <row r="805">
      <c r="A805" s="71" t="n"/>
      <c r="B805" s="71" t="n"/>
      <c r="C805" s="71" t="n"/>
      <c r="D805" s="71" t="n"/>
      <c r="E805" s="71" t="n"/>
      <c r="F805" s="46" t="n"/>
      <c r="G805" s="46" t="n"/>
      <c r="H805" s="71" t="n"/>
      <c r="I805" s="71" t="n"/>
      <c r="J805" s="71" t="n"/>
      <c r="K805" s="71" t="n"/>
      <c r="L805" s="71" t="n"/>
      <c r="M805" s="71" t="n"/>
      <c r="N805" s="71" t="n"/>
      <c r="O805" s="71" t="n"/>
      <c r="P805" s="71" t="n"/>
      <c r="Q805" s="71" t="n"/>
      <c r="R805" s="46" t="n"/>
      <c r="S805" s="46" t="n"/>
      <c r="T805" s="71" t="n"/>
      <c r="U805" s="71" t="n"/>
      <c r="V805" s="71" t="n"/>
      <c r="W805" s="71" t="n"/>
      <c r="X805" s="71" t="n"/>
    </row>
    <row r="806">
      <c r="A806" s="72" t="n"/>
      <c r="B806" s="72" t="n"/>
      <c r="C806" s="72" t="n"/>
      <c r="D806" s="72" t="n"/>
      <c r="E806" s="72" t="n"/>
      <c r="F806" s="73" t="n"/>
      <c r="G806" s="73" t="n"/>
      <c r="H806" s="72" t="n"/>
      <c r="I806" s="72" t="n"/>
      <c r="J806" s="72" t="n"/>
      <c r="K806" s="72" t="n"/>
      <c r="L806" s="72" t="n"/>
      <c r="M806" s="72" t="n"/>
      <c r="N806" s="72" t="n"/>
      <c r="O806" s="72" t="n"/>
      <c r="P806" s="72" t="n"/>
      <c r="Q806" s="72" t="n"/>
      <c r="R806" s="73" t="n"/>
      <c r="S806" s="73" t="n"/>
      <c r="T806" s="72" t="n"/>
      <c r="U806" s="72" t="n"/>
      <c r="V806" s="72" t="n"/>
      <c r="W806" s="72" t="n"/>
      <c r="X806" s="72" t="n"/>
    </row>
    <row r="807">
      <c r="A807" s="71" t="n"/>
      <c r="B807" s="71" t="n"/>
      <c r="C807" s="71" t="n"/>
      <c r="D807" s="71" t="n"/>
      <c r="E807" s="71" t="n"/>
      <c r="F807" s="46" t="n"/>
      <c r="G807" s="46" t="n"/>
      <c r="H807" s="71" t="n"/>
      <c r="I807" s="71" t="n"/>
      <c r="J807" s="71" t="n"/>
      <c r="K807" s="71" t="n"/>
      <c r="L807" s="71" t="n"/>
      <c r="M807" s="71" t="n"/>
      <c r="N807" s="71" t="n"/>
      <c r="O807" s="71" t="n"/>
      <c r="P807" s="71" t="n"/>
      <c r="Q807" s="71" t="n"/>
      <c r="R807" s="46" t="n"/>
      <c r="S807" s="46" t="n"/>
      <c r="T807" s="71" t="n"/>
      <c r="U807" s="71" t="n"/>
      <c r="V807" s="71" t="n"/>
      <c r="W807" s="71" t="n"/>
      <c r="X807" s="71" t="n"/>
    </row>
    <row r="808">
      <c r="A808" s="72" t="n"/>
      <c r="B808" s="72" t="n"/>
      <c r="C808" s="72" t="n"/>
      <c r="D808" s="72" t="n"/>
      <c r="E808" s="72" t="n"/>
      <c r="F808" s="73" t="n"/>
      <c r="G808" s="73" t="n"/>
      <c r="H808" s="72" t="n"/>
      <c r="I808" s="72" t="n"/>
      <c r="J808" s="72" t="n"/>
      <c r="K808" s="72" t="n"/>
      <c r="L808" s="72" t="n"/>
      <c r="M808" s="72" t="n"/>
      <c r="N808" s="72" t="n"/>
      <c r="O808" s="72" t="n"/>
      <c r="P808" s="72" t="n"/>
      <c r="Q808" s="72" t="n"/>
      <c r="R808" s="73" t="n"/>
      <c r="S808" s="73" t="n"/>
      <c r="T808" s="72" t="n"/>
      <c r="U808" s="72" t="n"/>
      <c r="V808" s="72" t="n"/>
      <c r="W808" s="72" t="n"/>
      <c r="X808" s="72" t="n"/>
    </row>
    <row r="809">
      <c r="A809" s="71" t="n"/>
      <c r="B809" s="71" t="n"/>
      <c r="C809" s="71" t="n"/>
      <c r="D809" s="71" t="n"/>
      <c r="E809" s="71" t="n"/>
      <c r="F809" s="46" t="n"/>
      <c r="G809" s="46" t="n"/>
      <c r="H809" s="71" t="n"/>
      <c r="I809" s="71" t="n"/>
      <c r="J809" s="71" t="n"/>
      <c r="K809" s="71" t="n"/>
      <c r="L809" s="71" t="n"/>
      <c r="M809" s="71" t="n"/>
      <c r="N809" s="71" t="n"/>
      <c r="O809" s="71" t="n"/>
      <c r="P809" s="71" t="n"/>
      <c r="Q809" s="71" t="n"/>
      <c r="R809" s="46" t="n"/>
      <c r="S809" s="46" t="n"/>
      <c r="T809" s="71" t="n"/>
      <c r="U809" s="71" t="n"/>
      <c r="V809" s="71" t="n"/>
      <c r="W809" s="71" t="n"/>
      <c r="X809" s="71" t="n"/>
    </row>
    <row r="810">
      <c r="A810" s="72" t="n"/>
      <c r="B810" s="72" t="n"/>
      <c r="C810" s="72" t="n"/>
      <c r="D810" s="72" t="n"/>
      <c r="E810" s="72" t="n"/>
      <c r="F810" s="73" t="n"/>
      <c r="G810" s="73" t="n"/>
      <c r="H810" s="72" t="n"/>
      <c r="I810" s="72" t="n"/>
      <c r="J810" s="72" t="n"/>
      <c r="K810" s="72" t="n"/>
      <c r="L810" s="72" t="n"/>
      <c r="M810" s="72" t="n"/>
      <c r="N810" s="72" t="n"/>
      <c r="O810" s="72" t="n"/>
      <c r="P810" s="72" t="n"/>
      <c r="Q810" s="72" t="n"/>
      <c r="R810" s="73" t="n"/>
      <c r="S810" s="73" t="n"/>
      <c r="T810" s="72" t="n"/>
      <c r="U810" s="72" t="n"/>
      <c r="V810" s="72" t="n"/>
      <c r="W810" s="72" t="n"/>
      <c r="X810" s="72" t="n"/>
    </row>
    <row r="811">
      <c r="A811" s="71" t="n"/>
      <c r="B811" s="71" t="n"/>
      <c r="C811" s="71" t="n"/>
      <c r="D811" s="71" t="n"/>
      <c r="E811" s="71" t="n"/>
      <c r="F811" s="46" t="n"/>
      <c r="G811" s="46" t="n"/>
      <c r="H811" s="71" t="n"/>
      <c r="I811" s="71" t="n"/>
      <c r="J811" s="71" t="n"/>
      <c r="K811" s="71" t="n"/>
      <c r="L811" s="71" t="n"/>
      <c r="M811" s="71" t="n"/>
      <c r="N811" s="71" t="n"/>
      <c r="O811" s="71" t="n"/>
      <c r="P811" s="71" t="n"/>
      <c r="Q811" s="71" t="n"/>
      <c r="R811" s="46" t="n"/>
      <c r="S811" s="46" t="n"/>
      <c r="T811" s="71" t="n"/>
      <c r="U811" s="71" t="n"/>
      <c r="V811" s="71" t="n"/>
      <c r="W811" s="71" t="n"/>
      <c r="X811" s="71" t="n"/>
    </row>
    <row r="812">
      <c r="A812" s="72" t="n"/>
      <c r="B812" s="72" t="n"/>
      <c r="C812" s="72" t="n"/>
      <c r="D812" s="72" t="n"/>
      <c r="E812" s="72" t="n"/>
      <c r="F812" s="73" t="n"/>
      <c r="G812" s="73" t="n"/>
      <c r="H812" s="72" t="n"/>
      <c r="I812" s="72" t="n"/>
      <c r="J812" s="72" t="n"/>
      <c r="K812" s="72" t="n"/>
      <c r="L812" s="72" t="n"/>
      <c r="M812" s="72" t="n"/>
      <c r="N812" s="72" t="n"/>
      <c r="O812" s="72" t="n"/>
      <c r="P812" s="72" t="n"/>
      <c r="Q812" s="72" t="n"/>
      <c r="R812" s="73" t="n"/>
      <c r="S812" s="73" t="n"/>
      <c r="T812" s="72" t="n"/>
      <c r="U812" s="72" t="n"/>
      <c r="V812" s="72" t="n"/>
      <c r="W812" s="72" t="n"/>
      <c r="X812" s="72" t="n"/>
    </row>
    <row r="813">
      <c r="A813" s="71" t="n"/>
      <c r="B813" s="71" t="n"/>
      <c r="C813" s="71" t="n"/>
      <c r="D813" s="71" t="n"/>
      <c r="E813" s="71" t="n"/>
      <c r="F813" s="46" t="n"/>
      <c r="G813" s="46" t="n"/>
      <c r="H813" s="71" t="n"/>
      <c r="I813" s="71" t="n"/>
      <c r="J813" s="71" t="n"/>
      <c r="K813" s="71" t="n"/>
      <c r="L813" s="71" t="n"/>
      <c r="M813" s="71" t="n"/>
      <c r="N813" s="71" t="n"/>
      <c r="O813" s="71" t="n"/>
      <c r="P813" s="71" t="n"/>
      <c r="Q813" s="71" t="n"/>
      <c r="R813" s="46" t="n"/>
      <c r="S813" s="46" t="n"/>
      <c r="T813" s="71" t="n"/>
      <c r="U813" s="71" t="n"/>
      <c r="V813" s="71" t="n"/>
      <c r="W813" s="71" t="n"/>
      <c r="X813" s="71" t="n"/>
    </row>
    <row r="814">
      <c r="A814" s="72" t="n"/>
      <c r="B814" s="72" t="n"/>
      <c r="C814" s="72" t="n"/>
      <c r="D814" s="72" t="n"/>
      <c r="E814" s="72" t="n"/>
      <c r="F814" s="73" t="n"/>
      <c r="G814" s="73" t="n"/>
      <c r="H814" s="72" t="n"/>
      <c r="I814" s="72" t="n"/>
      <c r="J814" s="72" t="n"/>
      <c r="K814" s="72" t="n"/>
      <c r="L814" s="72" t="n"/>
      <c r="M814" s="72" t="n"/>
      <c r="N814" s="72" t="n"/>
      <c r="O814" s="72" t="n"/>
      <c r="P814" s="72" t="n"/>
      <c r="Q814" s="72" t="n"/>
      <c r="R814" s="73" t="n"/>
      <c r="S814" s="73" t="n"/>
      <c r="T814" s="72" t="n"/>
      <c r="U814" s="72" t="n"/>
      <c r="V814" s="72" t="n"/>
      <c r="W814" s="72" t="n"/>
      <c r="X814" s="72" t="n"/>
    </row>
    <row r="815">
      <c r="A815" s="71" t="n"/>
      <c r="B815" s="71" t="n"/>
      <c r="C815" s="71" t="n"/>
      <c r="D815" s="71" t="n"/>
      <c r="E815" s="71" t="n"/>
      <c r="F815" s="46" t="n"/>
      <c r="G815" s="46" t="n"/>
      <c r="H815" s="71" t="n"/>
      <c r="I815" s="71" t="n"/>
      <c r="J815" s="71" t="n"/>
      <c r="K815" s="71" t="n"/>
      <c r="L815" s="71" t="n"/>
      <c r="M815" s="71" t="n"/>
      <c r="N815" s="71" t="n"/>
      <c r="O815" s="71" t="n"/>
      <c r="P815" s="71" t="n"/>
      <c r="Q815" s="71" t="n"/>
      <c r="R815" s="46" t="n"/>
      <c r="S815" s="46" t="n"/>
      <c r="T815" s="71" t="n"/>
      <c r="U815" s="71" t="n"/>
      <c r="V815" s="71" t="n"/>
      <c r="W815" s="71" t="n"/>
      <c r="X815" s="71" t="n"/>
    </row>
    <row r="816">
      <c r="A816" s="72" t="n"/>
      <c r="B816" s="72" t="n"/>
      <c r="C816" s="72" t="n"/>
      <c r="D816" s="72" t="n"/>
      <c r="E816" s="72" t="n"/>
      <c r="F816" s="73" t="n"/>
      <c r="G816" s="73" t="n"/>
      <c r="H816" s="72" t="n"/>
      <c r="I816" s="72" t="n"/>
      <c r="J816" s="72" t="n"/>
      <c r="K816" s="72" t="n"/>
      <c r="L816" s="72" t="n"/>
      <c r="M816" s="72" t="n"/>
      <c r="N816" s="72" t="n"/>
      <c r="O816" s="72" t="n"/>
      <c r="P816" s="72" t="n"/>
      <c r="Q816" s="72" t="n"/>
      <c r="R816" s="73" t="n"/>
      <c r="S816" s="73" t="n"/>
      <c r="T816" s="72" t="n"/>
      <c r="U816" s="72" t="n"/>
      <c r="V816" s="72" t="n"/>
      <c r="W816" s="72" t="n"/>
      <c r="X816" s="72" t="n"/>
    </row>
    <row r="817">
      <c r="A817" s="71" t="n"/>
      <c r="B817" s="71" t="n"/>
      <c r="C817" s="71" t="n"/>
      <c r="D817" s="71" t="n"/>
      <c r="E817" s="71" t="n"/>
      <c r="F817" s="46" t="n"/>
      <c r="G817" s="46" t="n"/>
      <c r="H817" s="71" t="n"/>
      <c r="I817" s="71" t="n"/>
      <c r="J817" s="71" t="n"/>
      <c r="K817" s="71" t="n"/>
      <c r="L817" s="71" t="n"/>
      <c r="M817" s="71" t="n"/>
      <c r="N817" s="71" t="n"/>
      <c r="O817" s="71" t="n"/>
      <c r="P817" s="71" t="n"/>
      <c r="Q817" s="71" t="n"/>
      <c r="R817" s="46" t="n"/>
      <c r="S817" s="46" t="n"/>
      <c r="T817" s="71" t="n"/>
      <c r="U817" s="71" t="n"/>
      <c r="V817" s="71" t="n"/>
      <c r="W817" s="71" t="n"/>
      <c r="X817" s="71" t="n"/>
    </row>
    <row r="818">
      <c r="A818" s="72" t="n"/>
      <c r="B818" s="72" t="n"/>
      <c r="C818" s="72" t="n"/>
      <c r="D818" s="72" t="n"/>
      <c r="E818" s="72" t="n"/>
      <c r="F818" s="73" t="n"/>
      <c r="G818" s="73" t="n"/>
      <c r="H818" s="72" t="n"/>
      <c r="I818" s="72" t="n"/>
      <c r="J818" s="72" t="n"/>
      <c r="K818" s="72" t="n"/>
      <c r="L818" s="72" t="n"/>
      <c r="M818" s="72" t="n"/>
      <c r="N818" s="72" t="n"/>
      <c r="O818" s="72" t="n"/>
      <c r="P818" s="72" t="n"/>
      <c r="Q818" s="72" t="n"/>
      <c r="R818" s="73" t="n"/>
      <c r="S818" s="73" t="n"/>
      <c r="T818" s="72" t="n"/>
      <c r="U818" s="72" t="n"/>
      <c r="V818" s="72" t="n"/>
      <c r="W818" s="72" t="n"/>
      <c r="X818" s="72" t="n"/>
    </row>
    <row r="819">
      <c r="A819" s="71" t="n"/>
      <c r="B819" s="71" t="n"/>
      <c r="C819" s="71" t="n"/>
      <c r="D819" s="71" t="n"/>
      <c r="E819" s="71" t="n"/>
      <c r="F819" s="46" t="n"/>
      <c r="G819" s="46" t="n"/>
      <c r="H819" s="71" t="n"/>
      <c r="I819" s="71" t="n"/>
      <c r="J819" s="71" t="n"/>
      <c r="K819" s="71" t="n"/>
      <c r="L819" s="71" t="n"/>
      <c r="M819" s="71" t="n"/>
      <c r="N819" s="71" t="n"/>
      <c r="O819" s="71" t="n"/>
      <c r="P819" s="71" t="n"/>
      <c r="Q819" s="71" t="n"/>
      <c r="R819" s="46" t="n"/>
      <c r="S819" s="46" t="n"/>
      <c r="T819" s="71" t="n"/>
      <c r="U819" s="71" t="n"/>
      <c r="V819" s="71" t="n"/>
      <c r="W819" s="71" t="n"/>
      <c r="X819" s="71" t="n"/>
    </row>
    <row r="820">
      <c r="A820" s="72" t="n"/>
      <c r="B820" s="72" t="n"/>
      <c r="C820" s="72" t="n"/>
      <c r="D820" s="72" t="n"/>
      <c r="E820" s="72" t="n"/>
      <c r="F820" s="73" t="n"/>
      <c r="G820" s="73" t="n"/>
      <c r="H820" s="72" t="n"/>
      <c r="I820" s="72" t="n"/>
      <c r="J820" s="72" t="n"/>
      <c r="K820" s="72" t="n"/>
      <c r="L820" s="72" t="n"/>
      <c r="M820" s="72" t="n"/>
      <c r="N820" s="72" t="n"/>
      <c r="O820" s="72" t="n"/>
      <c r="P820" s="72" t="n"/>
      <c r="Q820" s="72" t="n"/>
      <c r="R820" s="73" t="n"/>
      <c r="S820" s="73" t="n"/>
      <c r="T820" s="72" t="n"/>
      <c r="U820" s="72" t="n"/>
      <c r="V820" s="72" t="n"/>
      <c r="W820" s="72" t="n"/>
      <c r="X820" s="72" t="n"/>
    </row>
    <row r="821">
      <c r="A821" s="71" t="n"/>
      <c r="B821" s="71" t="n"/>
      <c r="C821" s="71" t="n"/>
      <c r="D821" s="71" t="n"/>
      <c r="E821" s="71" t="n"/>
      <c r="F821" s="46" t="n"/>
      <c r="G821" s="46" t="n"/>
      <c r="H821" s="71" t="n"/>
      <c r="I821" s="71" t="n"/>
      <c r="J821" s="71" t="n"/>
      <c r="K821" s="71" t="n"/>
      <c r="L821" s="71" t="n"/>
      <c r="M821" s="71" t="n"/>
      <c r="N821" s="71" t="n"/>
      <c r="O821" s="71" t="n"/>
      <c r="P821" s="71" t="n"/>
      <c r="Q821" s="71" t="n"/>
      <c r="R821" s="46" t="n"/>
      <c r="S821" s="46" t="n"/>
      <c r="T821" s="71" t="n"/>
      <c r="U821" s="71" t="n"/>
      <c r="V821" s="71" t="n"/>
      <c r="W821" s="71" t="n"/>
      <c r="X821" s="71" t="n"/>
    </row>
    <row r="822">
      <c r="A822" s="72" t="n"/>
      <c r="B822" s="72" t="n"/>
      <c r="C822" s="72" t="n"/>
      <c r="D822" s="72" t="n"/>
      <c r="E822" s="72" t="n"/>
      <c r="F822" s="73" t="n"/>
      <c r="G822" s="73" t="n"/>
      <c r="H822" s="72" t="n"/>
      <c r="I822" s="72" t="n"/>
      <c r="J822" s="72" t="n"/>
      <c r="K822" s="72" t="n"/>
      <c r="L822" s="72" t="n"/>
      <c r="M822" s="72" t="n"/>
      <c r="N822" s="72" t="n"/>
      <c r="O822" s="72" t="n"/>
      <c r="P822" s="72" t="n"/>
      <c r="Q822" s="72" t="n"/>
      <c r="R822" s="73" t="n"/>
      <c r="S822" s="73" t="n"/>
      <c r="T822" s="72" t="n"/>
      <c r="U822" s="72" t="n"/>
      <c r="V822" s="72" t="n"/>
      <c r="W822" s="72" t="n"/>
      <c r="X822" s="72" t="n"/>
    </row>
    <row r="823">
      <c r="A823" s="71" t="n"/>
      <c r="B823" s="71" t="n"/>
      <c r="C823" s="71" t="n"/>
      <c r="D823" s="71" t="n"/>
      <c r="E823" s="71" t="n"/>
      <c r="F823" s="46" t="n"/>
      <c r="G823" s="46" t="n"/>
      <c r="H823" s="71" t="n"/>
      <c r="I823" s="71" t="n"/>
      <c r="J823" s="71" t="n"/>
      <c r="K823" s="71" t="n"/>
      <c r="L823" s="71" t="n"/>
      <c r="M823" s="71" t="n"/>
      <c r="N823" s="71" t="n"/>
      <c r="O823" s="71" t="n"/>
      <c r="P823" s="71" t="n"/>
      <c r="Q823" s="71" t="n"/>
      <c r="R823" s="46" t="n"/>
      <c r="S823" s="46" t="n"/>
      <c r="T823" s="71" t="n"/>
      <c r="U823" s="71" t="n"/>
      <c r="V823" s="71" t="n"/>
      <c r="W823" s="71" t="n"/>
      <c r="X823" s="71" t="n"/>
    </row>
    <row r="824">
      <c r="A824" s="72" t="n"/>
      <c r="B824" s="72" t="n"/>
      <c r="C824" s="72" t="n"/>
      <c r="D824" s="72" t="n"/>
      <c r="E824" s="72" t="n"/>
      <c r="F824" s="73" t="n"/>
      <c r="G824" s="73" t="n"/>
      <c r="H824" s="72" t="n"/>
      <c r="I824" s="72" t="n"/>
      <c r="J824" s="72" t="n"/>
      <c r="K824" s="72" t="n"/>
      <c r="L824" s="72" t="n"/>
      <c r="M824" s="72" t="n"/>
      <c r="N824" s="72" t="n"/>
      <c r="O824" s="72" t="n"/>
      <c r="P824" s="72" t="n"/>
      <c r="Q824" s="72" t="n"/>
      <c r="R824" s="73" t="n"/>
      <c r="S824" s="73" t="n"/>
      <c r="T824" s="72" t="n"/>
      <c r="U824" s="72" t="n"/>
      <c r="V824" s="72" t="n"/>
      <c r="W824" s="72" t="n"/>
      <c r="X824" s="72" t="n"/>
    </row>
    <row r="825">
      <c r="A825" s="71" t="n"/>
      <c r="B825" s="71" t="n"/>
      <c r="C825" s="71" t="n"/>
      <c r="D825" s="71" t="n"/>
      <c r="E825" s="71" t="n"/>
      <c r="F825" s="46" t="n"/>
      <c r="G825" s="46" t="n"/>
      <c r="H825" s="71" t="n"/>
      <c r="I825" s="71" t="n"/>
      <c r="J825" s="71" t="n"/>
      <c r="K825" s="71" t="n"/>
      <c r="L825" s="71" t="n"/>
      <c r="M825" s="71" t="n"/>
      <c r="N825" s="71" t="n"/>
      <c r="O825" s="71" t="n"/>
      <c r="P825" s="71" t="n"/>
      <c r="Q825" s="71" t="n"/>
      <c r="R825" s="46" t="n"/>
      <c r="S825" s="46" t="n"/>
      <c r="T825" s="71" t="n"/>
      <c r="U825" s="71" t="n"/>
      <c r="V825" s="71" t="n"/>
      <c r="W825" s="71" t="n"/>
      <c r="X825" s="71" t="n"/>
    </row>
    <row r="826">
      <c r="A826" s="72" t="n"/>
      <c r="B826" s="72" t="n"/>
      <c r="C826" s="72" t="n"/>
      <c r="D826" s="72" t="n"/>
      <c r="E826" s="72" t="n"/>
      <c r="F826" s="73" t="n"/>
      <c r="G826" s="73" t="n"/>
      <c r="H826" s="72" t="n"/>
      <c r="I826" s="72" t="n"/>
      <c r="J826" s="72" t="n"/>
      <c r="K826" s="72" t="n"/>
      <c r="L826" s="72" t="n"/>
      <c r="M826" s="72" t="n"/>
      <c r="N826" s="72" t="n"/>
      <c r="O826" s="72" t="n"/>
      <c r="P826" s="72" t="n"/>
      <c r="Q826" s="72" t="n"/>
      <c r="R826" s="73" t="n"/>
      <c r="S826" s="73" t="n"/>
      <c r="T826" s="72" t="n"/>
      <c r="U826" s="72" t="n"/>
      <c r="V826" s="72" t="n"/>
      <c r="W826" s="72" t="n"/>
      <c r="X826" s="72" t="n"/>
    </row>
    <row r="827">
      <c r="A827" s="71" t="n"/>
      <c r="B827" s="71" t="n"/>
      <c r="C827" s="71" t="n"/>
      <c r="D827" s="71" t="n"/>
      <c r="E827" s="71" t="n"/>
      <c r="F827" s="46" t="n"/>
      <c r="G827" s="46" t="n"/>
      <c r="H827" s="71" t="n"/>
      <c r="I827" s="71" t="n"/>
      <c r="J827" s="71" t="n"/>
      <c r="K827" s="71" t="n"/>
      <c r="L827" s="71" t="n"/>
      <c r="M827" s="71" t="n"/>
      <c r="N827" s="71" t="n"/>
      <c r="O827" s="71" t="n"/>
      <c r="P827" s="71" t="n"/>
      <c r="Q827" s="71" t="n"/>
      <c r="R827" s="46" t="n"/>
      <c r="S827" s="46" t="n"/>
      <c r="T827" s="71" t="n"/>
      <c r="U827" s="71" t="n"/>
      <c r="V827" s="71" t="n"/>
      <c r="W827" s="71" t="n"/>
      <c r="X827" s="71" t="n"/>
    </row>
    <row r="828">
      <c r="A828" s="72" t="n"/>
      <c r="B828" s="72" t="n"/>
      <c r="C828" s="72" t="n"/>
      <c r="D828" s="72" t="n"/>
      <c r="E828" s="72" t="n"/>
      <c r="F828" s="73" t="n"/>
      <c r="G828" s="73" t="n"/>
      <c r="H828" s="72" t="n"/>
      <c r="I828" s="72" t="n"/>
      <c r="J828" s="72" t="n"/>
      <c r="K828" s="72" t="n"/>
      <c r="L828" s="72" t="n"/>
      <c r="M828" s="72" t="n"/>
      <c r="N828" s="72" t="n"/>
      <c r="O828" s="72" t="n"/>
      <c r="P828" s="72" t="n"/>
      <c r="Q828" s="72" t="n"/>
      <c r="R828" s="73" t="n"/>
      <c r="S828" s="73" t="n"/>
      <c r="T828" s="72" t="n"/>
      <c r="U828" s="72" t="n"/>
      <c r="V828" s="72" t="n"/>
      <c r="W828" s="72" t="n"/>
      <c r="X828" s="72" t="n"/>
    </row>
    <row r="829">
      <c r="A829" s="71" t="n"/>
      <c r="B829" s="71" t="n"/>
      <c r="C829" s="71" t="n"/>
      <c r="D829" s="71" t="n"/>
      <c r="E829" s="71" t="n"/>
      <c r="F829" s="46" t="n"/>
      <c r="G829" s="46" t="n"/>
      <c r="H829" s="71" t="n"/>
      <c r="I829" s="71" t="n"/>
      <c r="J829" s="71" t="n"/>
      <c r="K829" s="71" t="n"/>
      <c r="L829" s="71" t="n"/>
      <c r="M829" s="71" t="n"/>
      <c r="N829" s="71" t="n"/>
      <c r="O829" s="71" t="n"/>
      <c r="P829" s="71" t="n"/>
      <c r="Q829" s="71" t="n"/>
      <c r="R829" s="46" t="n"/>
      <c r="S829" s="46" t="n"/>
      <c r="T829" s="71" t="n"/>
      <c r="U829" s="71" t="n"/>
      <c r="V829" s="71" t="n"/>
      <c r="W829" s="71" t="n"/>
      <c r="X829" s="71" t="n"/>
    </row>
    <row r="830">
      <c r="A830" s="72" t="n"/>
      <c r="B830" s="72" t="n"/>
      <c r="C830" s="72" t="n"/>
      <c r="D830" s="72" t="n"/>
      <c r="E830" s="72" t="n"/>
      <c r="F830" s="73" t="n"/>
      <c r="G830" s="73" t="n"/>
      <c r="H830" s="72" t="n"/>
      <c r="I830" s="72" t="n"/>
      <c r="J830" s="72" t="n"/>
      <c r="K830" s="72" t="n"/>
      <c r="L830" s="72" t="n"/>
      <c r="M830" s="72" t="n"/>
      <c r="N830" s="72" t="n"/>
      <c r="O830" s="72" t="n"/>
      <c r="P830" s="72" t="n"/>
      <c r="Q830" s="72" t="n"/>
      <c r="R830" s="73" t="n"/>
      <c r="S830" s="73" t="n"/>
      <c r="T830" s="72" t="n"/>
      <c r="U830" s="72" t="n"/>
      <c r="V830" s="72" t="n"/>
      <c r="W830" s="72" t="n"/>
      <c r="X830" s="72" t="n"/>
    </row>
    <row r="831">
      <c r="A831" s="71" t="n"/>
      <c r="B831" s="71" t="n"/>
      <c r="C831" s="71" t="n"/>
      <c r="D831" s="71" t="n"/>
      <c r="E831" s="71" t="n"/>
      <c r="F831" s="46" t="n"/>
      <c r="G831" s="46" t="n"/>
      <c r="H831" s="71" t="n"/>
      <c r="I831" s="71" t="n"/>
      <c r="J831" s="71" t="n"/>
      <c r="K831" s="71" t="n"/>
      <c r="L831" s="71" t="n"/>
      <c r="M831" s="71" t="n"/>
      <c r="N831" s="71" t="n"/>
      <c r="O831" s="71" t="n"/>
      <c r="P831" s="71" t="n"/>
      <c r="Q831" s="71" t="n"/>
      <c r="R831" s="46" t="n"/>
      <c r="S831" s="46" t="n"/>
      <c r="T831" s="71" t="n"/>
      <c r="U831" s="71" t="n"/>
      <c r="V831" s="71" t="n"/>
      <c r="W831" s="71" t="n"/>
      <c r="X831" s="71" t="n"/>
    </row>
    <row r="832">
      <c r="A832" s="72" t="n"/>
      <c r="B832" s="72" t="n"/>
      <c r="C832" s="72" t="n"/>
      <c r="D832" s="72" t="n"/>
      <c r="E832" s="72" t="n"/>
      <c r="F832" s="73" t="n"/>
      <c r="G832" s="73" t="n"/>
      <c r="H832" s="72" t="n"/>
      <c r="I832" s="72" t="n"/>
      <c r="J832" s="72" t="n"/>
      <c r="K832" s="72" t="n"/>
      <c r="L832" s="72" t="n"/>
      <c r="M832" s="72" t="n"/>
      <c r="N832" s="72" t="n"/>
      <c r="O832" s="72" t="n"/>
      <c r="P832" s="72" t="n"/>
      <c r="Q832" s="72" t="n"/>
      <c r="R832" s="73" t="n"/>
      <c r="S832" s="73" t="n"/>
      <c r="T832" s="72" t="n"/>
      <c r="U832" s="72" t="n"/>
      <c r="V832" s="72" t="n"/>
      <c r="W832" s="72" t="n"/>
      <c r="X832" s="72" t="n"/>
    </row>
    <row r="833">
      <c r="A833" s="71" t="n"/>
      <c r="B833" s="71" t="n"/>
      <c r="C833" s="71" t="n"/>
      <c r="D833" s="71" t="n"/>
      <c r="E833" s="71" t="n"/>
      <c r="F833" s="46" t="n"/>
      <c r="G833" s="46" t="n"/>
      <c r="H833" s="71" t="n"/>
      <c r="I833" s="71" t="n"/>
      <c r="J833" s="71" t="n"/>
      <c r="K833" s="71" t="n"/>
      <c r="L833" s="71" t="n"/>
      <c r="M833" s="71" t="n"/>
      <c r="N833" s="71" t="n"/>
      <c r="O833" s="71" t="n"/>
      <c r="P833" s="71" t="n"/>
      <c r="Q833" s="71" t="n"/>
      <c r="R833" s="46" t="n"/>
      <c r="S833" s="46" t="n"/>
      <c r="T833" s="71" t="n"/>
      <c r="U833" s="71" t="n"/>
      <c r="V833" s="71" t="n"/>
      <c r="W833" s="71" t="n"/>
      <c r="X833" s="71" t="n"/>
    </row>
    <row r="834">
      <c r="A834" s="72" t="n"/>
      <c r="B834" s="72" t="n"/>
      <c r="C834" s="72" t="n"/>
      <c r="D834" s="72" t="n"/>
      <c r="E834" s="72" t="n"/>
      <c r="F834" s="73" t="n"/>
      <c r="G834" s="73" t="n"/>
      <c r="H834" s="72" t="n"/>
      <c r="I834" s="72" t="n"/>
      <c r="J834" s="72" t="n"/>
      <c r="K834" s="72" t="n"/>
      <c r="L834" s="72" t="n"/>
      <c r="M834" s="72" t="n"/>
      <c r="N834" s="72" t="n"/>
      <c r="O834" s="72" t="n"/>
      <c r="P834" s="72" t="n"/>
      <c r="Q834" s="72" t="n"/>
      <c r="R834" s="73" t="n"/>
      <c r="S834" s="73" t="n"/>
      <c r="T834" s="72" t="n"/>
      <c r="U834" s="72" t="n"/>
      <c r="V834" s="72" t="n"/>
      <c r="W834" s="72" t="n"/>
      <c r="X834" s="72" t="n"/>
    </row>
    <row r="835">
      <c r="A835" s="71" t="n"/>
      <c r="B835" s="71" t="n"/>
      <c r="C835" s="71" t="n"/>
      <c r="D835" s="71" t="n"/>
      <c r="E835" s="71" t="n"/>
      <c r="F835" s="46" t="n"/>
      <c r="G835" s="46" t="n"/>
      <c r="H835" s="71" t="n"/>
      <c r="I835" s="71" t="n"/>
      <c r="J835" s="71" t="n"/>
      <c r="K835" s="71" t="n"/>
      <c r="L835" s="71" t="n"/>
      <c r="M835" s="71" t="n"/>
      <c r="N835" s="71" t="n"/>
      <c r="O835" s="71" t="n"/>
      <c r="P835" s="71" t="n"/>
      <c r="Q835" s="71" t="n"/>
      <c r="R835" s="46" t="n"/>
      <c r="S835" s="46" t="n"/>
      <c r="T835" s="71" t="n"/>
      <c r="U835" s="71" t="n"/>
      <c r="V835" s="71" t="n"/>
      <c r="W835" s="71" t="n"/>
      <c r="X835" s="71" t="n"/>
    </row>
    <row r="836">
      <c r="A836" s="72" t="n"/>
      <c r="B836" s="72" t="n"/>
      <c r="C836" s="72" t="n"/>
      <c r="D836" s="72" t="n"/>
      <c r="E836" s="72" t="n"/>
      <c r="F836" s="73" t="n"/>
      <c r="G836" s="73" t="n"/>
      <c r="H836" s="72" t="n"/>
      <c r="I836" s="72" t="n"/>
      <c r="J836" s="72" t="n"/>
      <c r="K836" s="72" t="n"/>
      <c r="L836" s="72" t="n"/>
      <c r="M836" s="72" t="n"/>
      <c r="N836" s="72" t="n"/>
      <c r="O836" s="72" t="n"/>
      <c r="P836" s="72" t="n"/>
      <c r="Q836" s="72" t="n"/>
      <c r="R836" s="73" t="n"/>
      <c r="S836" s="73" t="n"/>
      <c r="T836" s="72" t="n"/>
      <c r="U836" s="72" t="n"/>
      <c r="V836" s="72" t="n"/>
      <c r="W836" s="72" t="n"/>
      <c r="X836" s="72" t="n"/>
    </row>
    <row r="837">
      <c r="A837" s="71" t="n"/>
      <c r="B837" s="71" t="n"/>
      <c r="C837" s="71" t="n"/>
      <c r="D837" s="71" t="n"/>
      <c r="E837" s="71" t="n"/>
      <c r="F837" s="46" t="n"/>
      <c r="G837" s="46" t="n"/>
      <c r="H837" s="71" t="n"/>
      <c r="I837" s="71" t="n"/>
      <c r="J837" s="71" t="n"/>
      <c r="K837" s="71" t="n"/>
      <c r="L837" s="71" t="n"/>
      <c r="M837" s="71" t="n"/>
      <c r="N837" s="71" t="n"/>
      <c r="O837" s="71" t="n"/>
      <c r="P837" s="71" t="n"/>
      <c r="Q837" s="71" t="n"/>
      <c r="R837" s="46" t="n"/>
      <c r="S837" s="46" t="n"/>
      <c r="T837" s="71" t="n"/>
      <c r="U837" s="71" t="n"/>
      <c r="V837" s="71" t="n"/>
      <c r="W837" s="71" t="n"/>
      <c r="X837" s="71" t="n"/>
    </row>
    <row r="838">
      <c r="A838" s="72" t="n"/>
      <c r="B838" s="72" t="n"/>
      <c r="C838" s="72" t="n"/>
      <c r="D838" s="72" t="n"/>
      <c r="E838" s="72" t="n"/>
      <c r="F838" s="73" t="n"/>
      <c r="G838" s="73" t="n"/>
      <c r="H838" s="72" t="n"/>
      <c r="I838" s="72" t="n"/>
      <c r="J838" s="72" t="n"/>
      <c r="K838" s="72" t="n"/>
      <c r="L838" s="72" t="n"/>
      <c r="M838" s="72" t="n"/>
      <c r="N838" s="72" t="n"/>
      <c r="O838" s="72" t="n"/>
      <c r="P838" s="72" t="n"/>
      <c r="Q838" s="72" t="n"/>
      <c r="R838" s="73" t="n"/>
      <c r="S838" s="73" t="n"/>
      <c r="T838" s="72" t="n"/>
      <c r="U838" s="72" t="n"/>
      <c r="V838" s="72" t="n"/>
      <c r="W838" s="72" t="n"/>
      <c r="X838" s="72" t="n"/>
    </row>
    <row r="839">
      <c r="A839" s="71" t="n"/>
      <c r="B839" s="71" t="n"/>
      <c r="C839" s="71" t="n"/>
      <c r="D839" s="71" t="n"/>
      <c r="E839" s="71" t="n"/>
      <c r="F839" s="46" t="n"/>
      <c r="G839" s="46" t="n"/>
      <c r="H839" s="71" t="n"/>
      <c r="I839" s="71" t="n"/>
      <c r="J839" s="71" t="n"/>
      <c r="K839" s="71" t="n"/>
      <c r="L839" s="71" t="n"/>
      <c r="M839" s="71" t="n"/>
      <c r="N839" s="71" t="n"/>
      <c r="O839" s="71" t="n"/>
      <c r="P839" s="71" t="n"/>
      <c r="Q839" s="71" t="n"/>
      <c r="R839" s="46" t="n"/>
      <c r="S839" s="46" t="n"/>
      <c r="T839" s="71" t="n"/>
      <c r="U839" s="71" t="n"/>
      <c r="V839" s="71" t="n"/>
      <c r="W839" s="71" t="n"/>
      <c r="X839" s="71" t="n"/>
    </row>
    <row r="840">
      <c r="A840" s="72" t="n"/>
      <c r="B840" s="72" t="n"/>
      <c r="C840" s="72" t="n"/>
      <c r="D840" s="72" t="n"/>
      <c r="E840" s="72" t="n"/>
      <c r="F840" s="73" t="n"/>
      <c r="G840" s="73" t="n"/>
      <c r="H840" s="72" t="n"/>
      <c r="I840" s="72" t="n"/>
      <c r="J840" s="72" t="n"/>
      <c r="K840" s="72" t="n"/>
      <c r="L840" s="72" t="n"/>
      <c r="M840" s="72" t="n"/>
      <c r="N840" s="72" t="n"/>
      <c r="O840" s="72" t="n"/>
      <c r="P840" s="72" t="n"/>
      <c r="Q840" s="72" t="n"/>
      <c r="R840" s="73" t="n"/>
      <c r="S840" s="73" t="n"/>
      <c r="T840" s="72" t="n"/>
      <c r="U840" s="72" t="n"/>
      <c r="V840" s="72" t="n"/>
      <c r="W840" s="72" t="n"/>
      <c r="X840" s="72" t="n"/>
    </row>
    <row r="841">
      <c r="A841" s="71" t="n"/>
      <c r="B841" s="71" t="n"/>
      <c r="C841" s="71" t="n"/>
      <c r="D841" s="71" t="n"/>
      <c r="E841" s="71" t="n"/>
      <c r="F841" s="46" t="n"/>
      <c r="G841" s="46" t="n"/>
      <c r="H841" s="71" t="n"/>
      <c r="I841" s="71" t="n"/>
      <c r="J841" s="71" t="n"/>
      <c r="K841" s="71" t="n"/>
      <c r="L841" s="71" t="n"/>
      <c r="M841" s="71" t="n"/>
      <c r="N841" s="71" t="n"/>
      <c r="O841" s="71" t="n"/>
      <c r="P841" s="71" t="n"/>
      <c r="Q841" s="71" t="n"/>
      <c r="R841" s="46" t="n"/>
      <c r="S841" s="46" t="n"/>
      <c r="T841" s="71" t="n"/>
      <c r="U841" s="71" t="n"/>
      <c r="V841" s="71" t="n"/>
      <c r="W841" s="71" t="n"/>
      <c r="X841" s="71" t="n"/>
    </row>
    <row r="842">
      <c r="A842" s="72" t="n"/>
      <c r="B842" s="72" t="n"/>
      <c r="C842" s="72" t="n"/>
      <c r="D842" s="72" t="n"/>
      <c r="E842" s="72" t="n"/>
      <c r="F842" s="73" t="n"/>
      <c r="G842" s="73" t="n"/>
      <c r="H842" s="72" t="n"/>
      <c r="I842" s="72" t="n"/>
      <c r="J842" s="72" t="n"/>
      <c r="K842" s="72" t="n"/>
      <c r="L842" s="72" t="n"/>
      <c r="M842" s="72" t="n"/>
      <c r="N842" s="72" t="n"/>
      <c r="O842" s="72" t="n"/>
      <c r="P842" s="72" t="n"/>
      <c r="Q842" s="72" t="n"/>
      <c r="R842" s="73" t="n"/>
      <c r="S842" s="73" t="n"/>
      <c r="T842" s="72" t="n"/>
      <c r="U842" s="72" t="n"/>
      <c r="V842" s="72" t="n"/>
      <c r="W842" s="72" t="n"/>
      <c r="X842" s="72" t="n"/>
    </row>
    <row r="843">
      <c r="A843" s="71" t="n"/>
      <c r="B843" s="71" t="n"/>
      <c r="C843" s="71" t="n"/>
      <c r="D843" s="71" t="n"/>
      <c r="E843" s="71" t="n"/>
      <c r="F843" s="46" t="n"/>
      <c r="G843" s="46" t="n"/>
      <c r="H843" s="71" t="n"/>
      <c r="I843" s="71" t="n"/>
      <c r="J843" s="71" t="n"/>
      <c r="K843" s="71" t="n"/>
      <c r="L843" s="71" t="n"/>
      <c r="M843" s="71" t="n"/>
      <c r="N843" s="71" t="n"/>
      <c r="O843" s="71" t="n"/>
      <c r="P843" s="71" t="n"/>
      <c r="Q843" s="71" t="n"/>
      <c r="R843" s="46" t="n"/>
      <c r="S843" s="46" t="n"/>
      <c r="T843" s="71" t="n"/>
      <c r="U843" s="71" t="n"/>
      <c r="V843" s="71" t="n"/>
      <c r="W843" s="71" t="n"/>
      <c r="X843" s="71" t="n"/>
    </row>
    <row r="844">
      <c r="A844" s="72" t="n"/>
      <c r="B844" s="72" t="n"/>
      <c r="C844" s="72" t="n"/>
      <c r="D844" s="72" t="n"/>
      <c r="E844" s="72" t="n"/>
      <c r="F844" s="73" t="n"/>
      <c r="G844" s="73" t="n"/>
      <c r="H844" s="72" t="n"/>
      <c r="I844" s="72" t="n"/>
      <c r="J844" s="72" t="n"/>
      <c r="K844" s="72" t="n"/>
      <c r="L844" s="72" t="n"/>
      <c r="M844" s="72" t="n"/>
      <c r="N844" s="72" t="n"/>
      <c r="O844" s="72" t="n"/>
      <c r="P844" s="72" t="n"/>
      <c r="Q844" s="72" t="n"/>
      <c r="R844" s="73" t="n"/>
      <c r="S844" s="73" t="n"/>
      <c r="T844" s="72" t="n"/>
      <c r="U844" s="72" t="n"/>
      <c r="V844" s="72" t="n"/>
      <c r="W844" s="72" t="n"/>
      <c r="X844" s="72" t="n"/>
    </row>
    <row r="845">
      <c r="A845" s="71" t="n"/>
      <c r="B845" s="71" t="n"/>
      <c r="C845" s="71" t="n"/>
      <c r="D845" s="71" t="n"/>
      <c r="E845" s="71" t="n"/>
      <c r="F845" s="46" t="n"/>
      <c r="G845" s="46" t="n"/>
      <c r="H845" s="71" t="n"/>
      <c r="I845" s="71" t="n"/>
      <c r="J845" s="71" t="n"/>
      <c r="K845" s="71" t="n"/>
      <c r="L845" s="71" t="n"/>
      <c r="M845" s="71" t="n"/>
      <c r="N845" s="71" t="n"/>
      <c r="O845" s="71" t="n"/>
      <c r="P845" s="71" t="n"/>
      <c r="Q845" s="71" t="n"/>
      <c r="R845" s="46" t="n"/>
      <c r="S845" s="46" t="n"/>
      <c r="T845" s="71" t="n"/>
      <c r="U845" s="71" t="n"/>
      <c r="V845" s="71" t="n"/>
      <c r="W845" s="71" t="n"/>
      <c r="X845" s="71" t="n"/>
    </row>
    <row r="846">
      <c r="A846" s="72" t="n"/>
      <c r="B846" s="72" t="n"/>
      <c r="C846" s="72" t="n"/>
      <c r="D846" s="72" t="n"/>
      <c r="E846" s="72" t="n"/>
      <c r="F846" s="73" t="n"/>
      <c r="G846" s="73" t="n"/>
      <c r="H846" s="72" t="n"/>
      <c r="I846" s="72" t="n"/>
      <c r="J846" s="72" t="n"/>
      <c r="K846" s="72" t="n"/>
      <c r="L846" s="72" t="n"/>
      <c r="M846" s="72" t="n"/>
      <c r="N846" s="72" t="n"/>
      <c r="O846" s="72" t="n"/>
      <c r="P846" s="72" t="n"/>
      <c r="Q846" s="72" t="n"/>
      <c r="R846" s="73" t="n"/>
      <c r="S846" s="73" t="n"/>
      <c r="T846" s="72" t="n"/>
      <c r="U846" s="72" t="n"/>
      <c r="V846" s="72" t="n"/>
      <c r="W846" s="72" t="n"/>
      <c r="X846" s="72" t="n"/>
    </row>
    <row r="847">
      <c r="A847" s="71" t="n"/>
      <c r="B847" s="71" t="n"/>
      <c r="C847" s="71" t="n"/>
      <c r="D847" s="71" t="n"/>
      <c r="E847" s="71" t="n"/>
      <c r="F847" s="46" t="n"/>
      <c r="G847" s="46" t="n"/>
      <c r="H847" s="71" t="n"/>
      <c r="I847" s="71" t="n"/>
      <c r="J847" s="71" t="n"/>
      <c r="K847" s="71" t="n"/>
      <c r="L847" s="71" t="n"/>
      <c r="M847" s="71" t="n"/>
      <c r="N847" s="71" t="n"/>
      <c r="O847" s="71" t="n"/>
      <c r="P847" s="71" t="n"/>
      <c r="Q847" s="71" t="n"/>
      <c r="R847" s="46" t="n"/>
      <c r="S847" s="46" t="n"/>
      <c r="T847" s="71" t="n"/>
      <c r="U847" s="71" t="n"/>
      <c r="V847" s="71" t="n"/>
      <c r="W847" s="71" t="n"/>
      <c r="X847" s="71" t="n"/>
    </row>
    <row r="848">
      <c r="A848" s="72" t="n"/>
      <c r="B848" s="72" t="n"/>
      <c r="C848" s="72" t="n"/>
      <c r="D848" s="72" t="n"/>
      <c r="E848" s="72" t="n"/>
      <c r="F848" s="73" t="n"/>
      <c r="G848" s="73" t="n"/>
      <c r="H848" s="72" t="n"/>
      <c r="I848" s="72" t="n"/>
      <c r="J848" s="72" t="n"/>
      <c r="K848" s="72" t="n"/>
      <c r="L848" s="72" t="n"/>
      <c r="M848" s="72" t="n"/>
      <c r="N848" s="72" t="n"/>
      <c r="O848" s="72" t="n"/>
      <c r="P848" s="72" t="n"/>
      <c r="Q848" s="72" t="n"/>
      <c r="R848" s="73" t="n"/>
      <c r="S848" s="73" t="n"/>
      <c r="T848" s="72" t="n"/>
      <c r="U848" s="72" t="n"/>
      <c r="V848" s="72" t="n"/>
      <c r="W848" s="72" t="n"/>
      <c r="X848" s="72" t="n"/>
    </row>
    <row r="849">
      <c r="A849" s="71" t="n"/>
      <c r="B849" s="71" t="n"/>
      <c r="C849" s="71" t="n"/>
      <c r="D849" s="71" t="n"/>
      <c r="E849" s="71" t="n"/>
      <c r="F849" s="46" t="n"/>
      <c r="G849" s="46" t="n"/>
      <c r="H849" s="71" t="n"/>
      <c r="I849" s="71" t="n"/>
      <c r="J849" s="71" t="n"/>
      <c r="K849" s="71" t="n"/>
      <c r="L849" s="71" t="n"/>
      <c r="M849" s="71" t="n"/>
      <c r="N849" s="71" t="n"/>
      <c r="O849" s="71" t="n"/>
      <c r="P849" s="71" t="n"/>
      <c r="Q849" s="71" t="n"/>
      <c r="R849" s="46" t="n"/>
      <c r="S849" s="46" t="n"/>
      <c r="T849" s="71" t="n"/>
      <c r="U849" s="71" t="n"/>
      <c r="V849" s="71" t="n"/>
      <c r="W849" s="71" t="n"/>
      <c r="X849" s="71" t="n"/>
    </row>
    <row r="850">
      <c r="A850" s="72" t="n"/>
      <c r="B850" s="72" t="n"/>
      <c r="C850" s="72" t="n"/>
      <c r="D850" s="72" t="n"/>
      <c r="E850" s="72" t="n"/>
      <c r="F850" s="73" t="n"/>
      <c r="G850" s="73" t="n"/>
      <c r="H850" s="72" t="n"/>
      <c r="I850" s="72" t="n"/>
      <c r="J850" s="72" t="n"/>
      <c r="K850" s="72" t="n"/>
      <c r="L850" s="72" t="n"/>
      <c r="M850" s="72" t="n"/>
      <c r="N850" s="72" t="n"/>
      <c r="O850" s="72" t="n"/>
      <c r="P850" s="72" t="n"/>
      <c r="Q850" s="72" t="n"/>
      <c r="R850" s="73" t="n"/>
      <c r="S850" s="73" t="n"/>
      <c r="T850" s="72" t="n"/>
      <c r="U850" s="72" t="n"/>
      <c r="V850" s="72" t="n"/>
      <c r="W850" s="72" t="n"/>
      <c r="X850" s="72" t="n"/>
    </row>
    <row r="851">
      <c r="A851" s="71" t="n"/>
      <c r="B851" s="71" t="n"/>
      <c r="C851" s="71" t="n"/>
      <c r="D851" s="71" t="n"/>
      <c r="E851" s="71" t="n"/>
      <c r="F851" s="46" t="n"/>
      <c r="G851" s="46" t="n"/>
      <c r="H851" s="71" t="n"/>
      <c r="I851" s="71" t="n"/>
      <c r="J851" s="71" t="n"/>
      <c r="K851" s="71" t="n"/>
      <c r="L851" s="71" t="n"/>
      <c r="M851" s="71" t="n"/>
      <c r="N851" s="71" t="n"/>
      <c r="O851" s="71" t="n"/>
      <c r="P851" s="71" t="n"/>
      <c r="Q851" s="71" t="n"/>
      <c r="R851" s="46" t="n"/>
      <c r="S851" s="46" t="n"/>
      <c r="T851" s="71" t="n"/>
      <c r="U851" s="71" t="n"/>
      <c r="V851" s="71" t="n"/>
      <c r="W851" s="71" t="n"/>
      <c r="X851" s="71" t="n"/>
    </row>
    <row r="852">
      <c r="A852" s="72" t="n"/>
      <c r="B852" s="72" t="n"/>
      <c r="C852" s="72" t="n"/>
      <c r="D852" s="72" t="n"/>
      <c r="E852" s="72" t="n"/>
      <c r="F852" s="73" t="n"/>
      <c r="G852" s="73" t="n"/>
      <c r="H852" s="72" t="n"/>
      <c r="I852" s="72" t="n"/>
      <c r="J852" s="72" t="n"/>
      <c r="K852" s="72" t="n"/>
      <c r="L852" s="72" t="n"/>
      <c r="M852" s="72" t="n"/>
      <c r="N852" s="72" t="n"/>
      <c r="O852" s="72" t="n"/>
      <c r="P852" s="72" t="n"/>
      <c r="Q852" s="72" t="n"/>
      <c r="R852" s="73" t="n"/>
      <c r="S852" s="73" t="n"/>
      <c r="T852" s="72" t="n"/>
      <c r="U852" s="72" t="n"/>
      <c r="V852" s="72" t="n"/>
      <c r="W852" s="72" t="n"/>
      <c r="X852" s="72" t="n"/>
    </row>
    <row r="853">
      <c r="A853" s="71" t="n"/>
      <c r="B853" s="71" t="n"/>
      <c r="C853" s="71" t="n"/>
      <c r="D853" s="71" t="n"/>
      <c r="E853" s="71" t="n"/>
      <c r="F853" s="46" t="n"/>
      <c r="G853" s="46" t="n"/>
      <c r="H853" s="71" t="n"/>
      <c r="I853" s="71" t="n"/>
      <c r="J853" s="71" t="n"/>
      <c r="K853" s="71" t="n"/>
      <c r="L853" s="71" t="n"/>
      <c r="M853" s="71" t="n"/>
      <c r="N853" s="71" t="n"/>
      <c r="O853" s="71" t="n"/>
      <c r="P853" s="71" t="n"/>
      <c r="Q853" s="71" t="n"/>
      <c r="R853" s="46" t="n"/>
      <c r="S853" s="46" t="n"/>
      <c r="T853" s="71" t="n"/>
      <c r="U853" s="71" t="n"/>
      <c r="V853" s="71" t="n"/>
      <c r="W853" s="71" t="n"/>
      <c r="X853" s="71" t="n"/>
    </row>
    <row r="854">
      <c r="A854" s="72" t="n"/>
      <c r="B854" s="72" t="n"/>
      <c r="C854" s="72" t="n"/>
      <c r="D854" s="72" t="n"/>
      <c r="E854" s="72" t="n"/>
      <c r="F854" s="73" t="n"/>
      <c r="G854" s="73" t="n"/>
      <c r="H854" s="72" t="n"/>
      <c r="I854" s="72" t="n"/>
      <c r="J854" s="72" t="n"/>
      <c r="K854" s="72" t="n"/>
      <c r="L854" s="72" t="n"/>
      <c r="M854" s="72" t="n"/>
      <c r="N854" s="72" t="n"/>
      <c r="O854" s="72" t="n"/>
      <c r="P854" s="72" t="n"/>
      <c r="Q854" s="72" t="n"/>
      <c r="R854" s="73" t="n"/>
      <c r="S854" s="73" t="n"/>
      <c r="T854" s="72" t="n"/>
      <c r="U854" s="72" t="n"/>
      <c r="V854" s="72" t="n"/>
      <c r="W854" s="72" t="n"/>
      <c r="X854" s="72" t="n"/>
    </row>
    <row r="855">
      <c r="A855" s="71" t="n"/>
      <c r="B855" s="71" t="n"/>
      <c r="C855" s="71" t="n"/>
      <c r="D855" s="71" t="n"/>
      <c r="E855" s="71" t="n"/>
      <c r="F855" s="46" t="n"/>
      <c r="G855" s="46" t="n"/>
      <c r="H855" s="71" t="n"/>
      <c r="I855" s="71" t="n"/>
      <c r="J855" s="71" t="n"/>
      <c r="K855" s="71" t="n"/>
      <c r="L855" s="71" t="n"/>
      <c r="M855" s="71" t="n"/>
      <c r="N855" s="71" t="n"/>
      <c r="O855" s="71" t="n"/>
      <c r="P855" s="71" t="n"/>
      <c r="Q855" s="71" t="n"/>
      <c r="R855" s="46" t="n"/>
      <c r="S855" s="46" t="n"/>
      <c r="T855" s="71" t="n"/>
      <c r="U855" s="71" t="n"/>
      <c r="V855" s="71" t="n"/>
      <c r="W855" s="71" t="n"/>
      <c r="X855" s="71" t="n"/>
    </row>
    <row r="856">
      <c r="A856" s="72" t="n"/>
      <c r="B856" s="72" t="n"/>
      <c r="C856" s="72" t="n"/>
      <c r="D856" s="72" t="n"/>
      <c r="E856" s="72" t="n"/>
      <c r="F856" s="73" t="n"/>
      <c r="G856" s="73" t="n"/>
      <c r="H856" s="72" t="n"/>
      <c r="I856" s="72" t="n"/>
      <c r="J856" s="72" t="n"/>
      <c r="K856" s="72" t="n"/>
      <c r="L856" s="72" t="n"/>
      <c r="M856" s="72" t="n"/>
      <c r="N856" s="72" t="n"/>
      <c r="O856" s="72" t="n"/>
      <c r="P856" s="72" t="n"/>
      <c r="Q856" s="72" t="n"/>
      <c r="R856" s="73" t="n"/>
      <c r="S856" s="73" t="n"/>
      <c r="T856" s="72" t="n"/>
      <c r="U856" s="72" t="n"/>
      <c r="V856" s="72" t="n"/>
      <c r="W856" s="72" t="n"/>
      <c r="X856" s="72" t="n"/>
    </row>
    <row r="857">
      <c r="A857" s="71" t="n"/>
      <c r="B857" s="71" t="n"/>
      <c r="C857" s="71" t="n"/>
      <c r="D857" s="71" t="n"/>
      <c r="E857" s="71" t="n"/>
      <c r="F857" s="46" t="n"/>
      <c r="G857" s="46" t="n"/>
      <c r="H857" s="71" t="n"/>
      <c r="I857" s="71" t="n"/>
      <c r="J857" s="71" t="n"/>
      <c r="K857" s="71" t="n"/>
      <c r="L857" s="71" t="n"/>
      <c r="M857" s="71" t="n"/>
      <c r="N857" s="71" t="n"/>
      <c r="O857" s="71" t="n"/>
      <c r="P857" s="71" t="n"/>
      <c r="Q857" s="71" t="n"/>
      <c r="R857" s="46" t="n"/>
      <c r="S857" s="46" t="n"/>
      <c r="T857" s="71" t="n"/>
      <c r="U857" s="71" t="n"/>
      <c r="V857" s="71" t="n"/>
      <c r="W857" s="71" t="n"/>
      <c r="X857" s="71" t="n"/>
    </row>
    <row r="858">
      <c r="A858" s="72" t="n"/>
      <c r="B858" s="72" t="n"/>
      <c r="C858" s="72" t="n"/>
      <c r="D858" s="72" t="n"/>
      <c r="E858" s="72" t="n"/>
      <c r="F858" s="73" t="n"/>
      <c r="G858" s="73" t="n"/>
      <c r="H858" s="72" t="n"/>
      <c r="I858" s="72" t="n"/>
      <c r="J858" s="72" t="n"/>
      <c r="K858" s="72" t="n"/>
      <c r="L858" s="72" t="n"/>
      <c r="M858" s="72" t="n"/>
      <c r="N858" s="72" t="n"/>
      <c r="O858" s="72" t="n"/>
      <c r="P858" s="72" t="n"/>
      <c r="Q858" s="72" t="n"/>
      <c r="R858" s="73" t="n"/>
      <c r="S858" s="73" t="n"/>
      <c r="T858" s="72" t="n"/>
      <c r="U858" s="72" t="n"/>
      <c r="V858" s="72" t="n"/>
      <c r="W858" s="72" t="n"/>
      <c r="X858" s="72" t="n"/>
    </row>
    <row r="859">
      <c r="A859" s="71" t="n"/>
      <c r="B859" s="71" t="n"/>
      <c r="C859" s="71" t="n"/>
      <c r="D859" s="71" t="n"/>
      <c r="E859" s="71" t="n"/>
      <c r="F859" s="46" t="n"/>
      <c r="G859" s="46" t="n"/>
      <c r="H859" s="71" t="n"/>
      <c r="I859" s="71" t="n"/>
      <c r="J859" s="71" t="n"/>
      <c r="K859" s="71" t="n"/>
      <c r="L859" s="71" t="n"/>
      <c r="M859" s="71" t="n"/>
      <c r="N859" s="71" t="n"/>
      <c r="O859" s="71" t="n"/>
      <c r="P859" s="71" t="n"/>
      <c r="Q859" s="71" t="n"/>
      <c r="R859" s="46" t="n"/>
      <c r="S859" s="46" t="n"/>
      <c r="T859" s="71" t="n"/>
      <c r="U859" s="71" t="n"/>
      <c r="V859" s="71" t="n"/>
      <c r="W859" s="71" t="n"/>
      <c r="X859" s="71" t="n"/>
    </row>
    <row r="860">
      <c r="A860" s="72" t="n"/>
      <c r="B860" s="72" t="n"/>
      <c r="C860" s="72" t="n"/>
      <c r="D860" s="72" t="n"/>
      <c r="E860" s="72" t="n"/>
      <c r="F860" s="73" t="n"/>
      <c r="G860" s="73" t="n"/>
      <c r="H860" s="72" t="n"/>
      <c r="I860" s="72" t="n"/>
      <c r="J860" s="72" t="n"/>
      <c r="K860" s="72" t="n"/>
      <c r="L860" s="72" t="n"/>
      <c r="M860" s="72" t="n"/>
      <c r="N860" s="72" t="n"/>
      <c r="O860" s="72" t="n"/>
      <c r="P860" s="72" t="n"/>
      <c r="Q860" s="72" t="n"/>
      <c r="R860" s="73" t="n"/>
      <c r="S860" s="73" t="n"/>
      <c r="T860" s="72" t="n"/>
      <c r="U860" s="72" t="n"/>
      <c r="V860" s="72" t="n"/>
      <c r="W860" s="72" t="n"/>
      <c r="X860" s="72" t="n"/>
    </row>
    <row r="861">
      <c r="A861" s="71" t="n"/>
      <c r="B861" s="71" t="n"/>
      <c r="C861" s="71" t="n"/>
      <c r="D861" s="71" t="n"/>
      <c r="E861" s="71" t="n"/>
      <c r="F861" s="46" t="n"/>
      <c r="G861" s="46" t="n"/>
      <c r="H861" s="71" t="n"/>
      <c r="I861" s="71" t="n"/>
      <c r="J861" s="71" t="n"/>
      <c r="K861" s="71" t="n"/>
      <c r="L861" s="71" t="n"/>
      <c r="M861" s="71" t="n"/>
      <c r="N861" s="71" t="n"/>
      <c r="O861" s="71" t="n"/>
      <c r="P861" s="71" t="n"/>
      <c r="Q861" s="71" t="n"/>
      <c r="R861" s="46" t="n"/>
      <c r="S861" s="46" t="n"/>
      <c r="T861" s="71" t="n"/>
      <c r="U861" s="71" t="n"/>
      <c r="V861" s="71" t="n"/>
      <c r="W861" s="71" t="n"/>
      <c r="X861" s="71" t="n"/>
    </row>
    <row r="862">
      <c r="A862" s="72" t="n"/>
      <c r="B862" s="72" t="n"/>
      <c r="C862" s="72" t="n"/>
      <c r="D862" s="72" t="n"/>
      <c r="E862" s="72" t="n"/>
      <c r="F862" s="73" t="n"/>
      <c r="G862" s="73" t="n"/>
      <c r="H862" s="72" t="n"/>
      <c r="I862" s="72" t="n"/>
      <c r="J862" s="72" t="n"/>
      <c r="K862" s="72" t="n"/>
      <c r="L862" s="72" t="n"/>
      <c r="M862" s="72" t="n"/>
      <c r="N862" s="72" t="n"/>
      <c r="O862" s="72" t="n"/>
      <c r="P862" s="72" t="n"/>
      <c r="Q862" s="72" t="n"/>
      <c r="R862" s="73" t="n"/>
      <c r="S862" s="73" t="n"/>
      <c r="T862" s="72" t="n"/>
      <c r="U862" s="72" t="n"/>
      <c r="V862" s="72" t="n"/>
      <c r="W862" s="72" t="n"/>
      <c r="X862" s="72" t="n"/>
    </row>
    <row r="863">
      <c r="A863" s="71" t="n"/>
      <c r="B863" s="71" t="n"/>
      <c r="C863" s="71" t="n"/>
      <c r="D863" s="71" t="n"/>
      <c r="E863" s="71" t="n"/>
      <c r="F863" s="46" t="n"/>
      <c r="G863" s="46" t="n"/>
      <c r="H863" s="71" t="n"/>
      <c r="I863" s="71" t="n"/>
      <c r="J863" s="71" t="n"/>
      <c r="K863" s="71" t="n"/>
      <c r="L863" s="71" t="n"/>
      <c r="M863" s="71" t="n"/>
      <c r="N863" s="71" t="n"/>
      <c r="O863" s="71" t="n"/>
      <c r="P863" s="71" t="n"/>
      <c r="Q863" s="71" t="n"/>
      <c r="R863" s="46" t="n"/>
      <c r="S863" s="46" t="n"/>
      <c r="T863" s="71" t="n"/>
      <c r="U863" s="71" t="n"/>
      <c r="V863" s="71" t="n"/>
      <c r="W863" s="71" t="n"/>
      <c r="X863" s="71" t="n"/>
    </row>
    <row r="864">
      <c r="A864" s="72" t="n"/>
      <c r="B864" s="72" t="n"/>
      <c r="C864" s="72" t="n"/>
      <c r="D864" s="72" t="n"/>
      <c r="E864" s="72" t="n"/>
      <c r="F864" s="73" t="n"/>
      <c r="G864" s="73" t="n"/>
      <c r="H864" s="72" t="n"/>
      <c r="I864" s="72" t="n"/>
      <c r="J864" s="72" t="n"/>
      <c r="K864" s="72" t="n"/>
      <c r="L864" s="72" t="n"/>
      <c r="M864" s="72" t="n"/>
      <c r="N864" s="72" t="n"/>
      <c r="O864" s="72" t="n"/>
      <c r="P864" s="72" t="n"/>
      <c r="Q864" s="72" t="n"/>
      <c r="R864" s="73" t="n"/>
      <c r="S864" s="73" t="n"/>
      <c r="T864" s="72" t="n"/>
      <c r="U864" s="72" t="n"/>
      <c r="V864" s="72" t="n"/>
      <c r="W864" s="72" t="n"/>
      <c r="X864" s="72" t="n"/>
    </row>
    <row r="865">
      <c r="A865" s="71" t="n"/>
      <c r="B865" s="71" t="n"/>
      <c r="C865" s="71" t="n"/>
      <c r="D865" s="71" t="n"/>
      <c r="E865" s="71" t="n"/>
      <c r="F865" s="46" t="n"/>
      <c r="G865" s="46" t="n"/>
      <c r="H865" s="71" t="n"/>
      <c r="I865" s="71" t="n"/>
      <c r="J865" s="71" t="n"/>
      <c r="K865" s="71" t="n"/>
      <c r="L865" s="71" t="n"/>
      <c r="M865" s="71" t="n"/>
      <c r="N865" s="71" t="n"/>
      <c r="O865" s="71" t="n"/>
      <c r="P865" s="71" t="n"/>
      <c r="Q865" s="71" t="n"/>
      <c r="R865" s="46" t="n"/>
      <c r="S865" s="46" t="n"/>
      <c r="T865" s="71" t="n"/>
      <c r="U865" s="71" t="n"/>
      <c r="V865" s="71" t="n"/>
      <c r="W865" s="71" t="n"/>
      <c r="X865" s="71" t="n"/>
    </row>
    <row r="866">
      <c r="A866" s="72" t="n"/>
      <c r="B866" s="72" t="n"/>
      <c r="C866" s="72" t="n"/>
      <c r="D866" s="72" t="n"/>
      <c r="E866" s="72" t="n"/>
      <c r="F866" s="73" t="n"/>
      <c r="G866" s="73" t="n"/>
      <c r="H866" s="72" t="n"/>
      <c r="I866" s="72" t="n"/>
      <c r="J866" s="72" t="n"/>
      <c r="K866" s="72" t="n"/>
      <c r="L866" s="72" t="n"/>
      <c r="M866" s="72" t="n"/>
      <c r="N866" s="72" t="n"/>
      <c r="O866" s="72" t="n"/>
      <c r="P866" s="72" t="n"/>
      <c r="Q866" s="72" t="n"/>
      <c r="R866" s="73" t="n"/>
      <c r="S866" s="73" t="n"/>
      <c r="T866" s="72" t="n"/>
      <c r="U866" s="72" t="n"/>
      <c r="V866" s="72" t="n"/>
      <c r="W866" s="72" t="n"/>
      <c r="X866" s="72" t="n"/>
    </row>
    <row r="867">
      <c r="A867" s="71" t="n"/>
      <c r="B867" s="71" t="n"/>
      <c r="C867" s="71" t="n"/>
      <c r="D867" s="71" t="n"/>
      <c r="E867" s="71" t="n"/>
      <c r="F867" s="46" t="n"/>
      <c r="G867" s="46" t="n"/>
      <c r="H867" s="71" t="n"/>
      <c r="I867" s="71" t="n"/>
      <c r="J867" s="71" t="n"/>
      <c r="K867" s="71" t="n"/>
      <c r="L867" s="71" t="n"/>
      <c r="M867" s="71" t="n"/>
      <c r="N867" s="71" t="n"/>
      <c r="O867" s="71" t="n"/>
      <c r="P867" s="71" t="n"/>
      <c r="Q867" s="71" t="n"/>
      <c r="R867" s="46" t="n"/>
      <c r="S867" s="46" t="n"/>
      <c r="T867" s="71" t="n"/>
      <c r="U867" s="71" t="n"/>
      <c r="V867" s="71" t="n"/>
      <c r="W867" s="71" t="n"/>
      <c r="X867" s="71" t="n"/>
    </row>
    <row r="868">
      <c r="A868" s="72" t="n"/>
      <c r="B868" s="72" t="n"/>
      <c r="C868" s="72" t="n"/>
      <c r="D868" s="72" t="n"/>
      <c r="E868" s="72" t="n"/>
      <c r="F868" s="73" t="n"/>
      <c r="G868" s="73" t="n"/>
      <c r="H868" s="72" t="n"/>
      <c r="I868" s="72" t="n"/>
      <c r="J868" s="72" t="n"/>
      <c r="K868" s="72" t="n"/>
      <c r="L868" s="72" t="n"/>
      <c r="M868" s="72" t="n"/>
      <c r="N868" s="72" t="n"/>
      <c r="O868" s="72" t="n"/>
      <c r="P868" s="72" t="n"/>
      <c r="Q868" s="72" t="n"/>
      <c r="R868" s="73" t="n"/>
      <c r="S868" s="73" t="n"/>
      <c r="T868" s="72" t="n"/>
      <c r="U868" s="72" t="n"/>
      <c r="V868" s="72" t="n"/>
      <c r="W868" s="72" t="n"/>
      <c r="X868" s="72" t="n"/>
    </row>
    <row r="869">
      <c r="A869" s="71" t="n"/>
      <c r="B869" s="71" t="n"/>
      <c r="C869" s="71" t="n"/>
      <c r="D869" s="71" t="n"/>
      <c r="E869" s="71" t="n"/>
      <c r="F869" s="46" t="n"/>
      <c r="G869" s="46" t="n"/>
      <c r="H869" s="71" t="n"/>
      <c r="I869" s="71" t="n"/>
      <c r="J869" s="71" t="n"/>
      <c r="K869" s="71" t="n"/>
      <c r="L869" s="71" t="n"/>
      <c r="M869" s="71" t="n"/>
      <c r="N869" s="71" t="n"/>
      <c r="O869" s="71" t="n"/>
      <c r="P869" s="71" t="n"/>
      <c r="Q869" s="71" t="n"/>
      <c r="R869" s="46" t="n"/>
      <c r="S869" s="46" t="n"/>
      <c r="T869" s="71" t="n"/>
      <c r="U869" s="71" t="n"/>
      <c r="V869" s="71" t="n"/>
      <c r="W869" s="71" t="n"/>
      <c r="X869" s="71" t="n"/>
    </row>
    <row r="870">
      <c r="A870" s="72" t="n"/>
      <c r="B870" s="72" t="n"/>
      <c r="C870" s="72" t="n"/>
      <c r="D870" s="72" t="n"/>
      <c r="E870" s="72" t="n"/>
      <c r="F870" s="73" t="n"/>
      <c r="G870" s="73" t="n"/>
      <c r="H870" s="72" t="n"/>
      <c r="I870" s="72" t="n"/>
      <c r="J870" s="72" t="n"/>
      <c r="K870" s="72" t="n"/>
      <c r="L870" s="72" t="n"/>
      <c r="M870" s="72" t="n"/>
      <c r="N870" s="72" t="n"/>
      <c r="O870" s="72" t="n"/>
      <c r="P870" s="72" t="n"/>
      <c r="Q870" s="72" t="n"/>
      <c r="R870" s="73" t="n"/>
      <c r="S870" s="73" t="n"/>
      <c r="T870" s="72" t="n"/>
      <c r="U870" s="72" t="n"/>
      <c r="V870" s="72" t="n"/>
      <c r="W870" s="72" t="n"/>
      <c r="X870" s="72" t="n"/>
    </row>
    <row r="871">
      <c r="A871" s="71" t="n"/>
      <c r="B871" s="71" t="n"/>
      <c r="C871" s="71" t="n"/>
      <c r="D871" s="71" t="n"/>
      <c r="E871" s="71" t="n"/>
      <c r="F871" s="46" t="n"/>
      <c r="G871" s="46" t="n"/>
      <c r="H871" s="71" t="n"/>
      <c r="I871" s="71" t="n"/>
      <c r="J871" s="71" t="n"/>
      <c r="K871" s="71" t="n"/>
      <c r="L871" s="71" t="n"/>
      <c r="M871" s="71" t="n"/>
      <c r="N871" s="71" t="n"/>
      <c r="O871" s="71" t="n"/>
      <c r="P871" s="71" t="n"/>
      <c r="Q871" s="71" t="n"/>
      <c r="R871" s="46" t="n"/>
      <c r="S871" s="46" t="n"/>
      <c r="T871" s="71" t="n"/>
      <c r="U871" s="71" t="n"/>
      <c r="V871" s="71" t="n"/>
      <c r="W871" s="71" t="n"/>
      <c r="X871" s="71" t="n"/>
    </row>
    <row r="872">
      <c r="A872" s="72" t="n"/>
      <c r="B872" s="72" t="n"/>
      <c r="C872" s="72" t="n"/>
      <c r="D872" s="72" t="n"/>
      <c r="E872" s="72" t="n"/>
      <c r="F872" s="73" t="n"/>
      <c r="G872" s="73" t="n"/>
      <c r="H872" s="72" t="n"/>
      <c r="I872" s="72" t="n"/>
      <c r="J872" s="72" t="n"/>
      <c r="K872" s="72" t="n"/>
      <c r="L872" s="72" t="n"/>
      <c r="M872" s="72" t="n"/>
      <c r="N872" s="72" t="n"/>
      <c r="O872" s="72" t="n"/>
      <c r="P872" s="72" t="n"/>
      <c r="Q872" s="72" t="n"/>
      <c r="R872" s="73" t="n"/>
      <c r="S872" s="73" t="n"/>
      <c r="T872" s="72" t="n"/>
      <c r="U872" s="72" t="n"/>
      <c r="V872" s="72" t="n"/>
      <c r="W872" s="72" t="n"/>
      <c r="X872" s="72" t="n"/>
    </row>
    <row r="873">
      <c r="A873" s="71" t="n"/>
      <c r="B873" s="71" t="n"/>
      <c r="C873" s="71" t="n"/>
      <c r="D873" s="71" t="n"/>
      <c r="E873" s="71" t="n"/>
      <c r="F873" s="46" t="n"/>
      <c r="G873" s="46" t="n"/>
      <c r="H873" s="71" t="n"/>
      <c r="I873" s="71" t="n"/>
      <c r="J873" s="71" t="n"/>
      <c r="K873" s="71" t="n"/>
      <c r="L873" s="71" t="n"/>
      <c r="M873" s="71" t="n"/>
      <c r="N873" s="71" t="n"/>
      <c r="O873" s="71" t="n"/>
      <c r="P873" s="71" t="n"/>
      <c r="Q873" s="71" t="n"/>
      <c r="R873" s="46" t="n"/>
      <c r="S873" s="46" t="n"/>
      <c r="T873" s="71" t="n"/>
      <c r="U873" s="71" t="n"/>
      <c r="V873" s="71" t="n"/>
      <c r="W873" s="71" t="n"/>
      <c r="X873" s="71" t="n"/>
    </row>
    <row r="874">
      <c r="A874" s="72" t="n"/>
      <c r="B874" s="72" t="n"/>
      <c r="C874" s="72" t="n"/>
      <c r="D874" s="72" t="n"/>
      <c r="E874" s="72" t="n"/>
      <c r="F874" s="73" t="n"/>
      <c r="G874" s="73" t="n"/>
      <c r="H874" s="72" t="n"/>
      <c r="I874" s="72" t="n"/>
      <c r="J874" s="72" t="n"/>
      <c r="K874" s="72" t="n"/>
      <c r="L874" s="72" t="n"/>
      <c r="M874" s="72" t="n"/>
      <c r="N874" s="72" t="n"/>
      <c r="O874" s="72" t="n"/>
      <c r="P874" s="72" t="n"/>
      <c r="Q874" s="72" t="n"/>
      <c r="R874" s="73" t="n"/>
      <c r="S874" s="73" t="n"/>
      <c r="T874" s="72" t="n"/>
      <c r="U874" s="72" t="n"/>
      <c r="V874" s="72" t="n"/>
      <c r="W874" s="72" t="n"/>
      <c r="X874" s="72" t="n"/>
    </row>
    <row r="875">
      <c r="A875" s="71" t="n"/>
      <c r="B875" s="71" t="n"/>
      <c r="C875" s="71" t="n"/>
      <c r="D875" s="71" t="n"/>
      <c r="E875" s="71" t="n"/>
      <c r="F875" s="46" t="n"/>
      <c r="G875" s="46" t="n"/>
      <c r="H875" s="71" t="n"/>
      <c r="I875" s="71" t="n"/>
      <c r="J875" s="71" t="n"/>
      <c r="K875" s="71" t="n"/>
      <c r="L875" s="71" t="n"/>
      <c r="M875" s="71" t="n"/>
      <c r="N875" s="71" t="n"/>
      <c r="O875" s="71" t="n"/>
      <c r="P875" s="71" t="n"/>
      <c r="Q875" s="71" t="n"/>
      <c r="R875" s="46" t="n"/>
      <c r="S875" s="46" t="n"/>
      <c r="T875" s="71" t="n"/>
      <c r="U875" s="71" t="n"/>
      <c r="V875" s="71" t="n"/>
      <c r="W875" s="71" t="n"/>
      <c r="X875" s="71" t="n"/>
    </row>
    <row r="876">
      <c r="A876" s="72" t="n"/>
      <c r="B876" s="72" t="n"/>
      <c r="C876" s="72" t="n"/>
      <c r="D876" s="72" t="n"/>
      <c r="E876" s="72" t="n"/>
      <c r="F876" s="73" t="n"/>
      <c r="G876" s="73" t="n"/>
      <c r="H876" s="72" t="n"/>
      <c r="I876" s="72" t="n"/>
      <c r="J876" s="72" t="n"/>
      <c r="K876" s="72" t="n"/>
      <c r="L876" s="72" t="n"/>
      <c r="M876" s="72" t="n"/>
      <c r="N876" s="72" t="n"/>
      <c r="O876" s="72" t="n"/>
      <c r="P876" s="72" t="n"/>
      <c r="Q876" s="72" t="n"/>
      <c r="R876" s="73" t="n"/>
      <c r="S876" s="73" t="n"/>
      <c r="T876" s="72" t="n"/>
      <c r="U876" s="72" t="n"/>
      <c r="V876" s="72" t="n"/>
      <c r="W876" s="72" t="n"/>
      <c r="X876" s="72" t="n"/>
    </row>
    <row r="877">
      <c r="A877" s="71" t="n"/>
      <c r="B877" s="71" t="n"/>
      <c r="C877" s="71" t="n"/>
      <c r="D877" s="71" t="n"/>
      <c r="E877" s="71" t="n"/>
      <c r="F877" s="46" t="n"/>
      <c r="G877" s="46" t="n"/>
      <c r="H877" s="71" t="n"/>
      <c r="I877" s="71" t="n"/>
      <c r="J877" s="71" t="n"/>
      <c r="K877" s="71" t="n"/>
      <c r="L877" s="71" t="n"/>
      <c r="M877" s="71" t="n"/>
      <c r="N877" s="71" t="n"/>
      <c r="O877" s="71" t="n"/>
      <c r="P877" s="71" t="n"/>
      <c r="Q877" s="71" t="n"/>
      <c r="R877" s="46" t="n"/>
      <c r="S877" s="46" t="n"/>
      <c r="T877" s="71" t="n"/>
      <c r="U877" s="71" t="n"/>
      <c r="V877" s="71" t="n"/>
      <c r="W877" s="71" t="n"/>
      <c r="X877" s="71" t="n"/>
    </row>
    <row r="878">
      <c r="A878" s="72" t="n"/>
      <c r="B878" s="72" t="n"/>
      <c r="C878" s="72" t="n"/>
      <c r="D878" s="72" t="n"/>
      <c r="E878" s="72" t="n"/>
      <c r="F878" s="73" t="n"/>
      <c r="G878" s="73" t="n"/>
      <c r="H878" s="72" t="n"/>
      <c r="I878" s="72" t="n"/>
      <c r="J878" s="72" t="n"/>
      <c r="K878" s="72" t="n"/>
      <c r="L878" s="72" t="n"/>
      <c r="M878" s="72" t="n"/>
      <c r="N878" s="72" t="n"/>
      <c r="O878" s="72" t="n"/>
      <c r="P878" s="72" t="n"/>
      <c r="Q878" s="72" t="n"/>
      <c r="R878" s="73" t="n"/>
      <c r="S878" s="73" t="n"/>
      <c r="T878" s="72" t="n"/>
      <c r="U878" s="72" t="n"/>
      <c r="V878" s="72" t="n"/>
      <c r="W878" s="72" t="n"/>
      <c r="X878" s="72" t="n"/>
    </row>
    <row r="879">
      <c r="A879" s="71" t="n"/>
      <c r="B879" s="71" t="n"/>
      <c r="C879" s="71" t="n"/>
      <c r="D879" s="71" t="n"/>
      <c r="E879" s="71" t="n"/>
      <c r="F879" s="46" t="n"/>
      <c r="G879" s="46" t="n"/>
      <c r="H879" s="71" t="n"/>
      <c r="I879" s="71" t="n"/>
      <c r="J879" s="71" t="n"/>
      <c r="K879" s="71" t="n"/>
      <c r="L879" s="71" t="n"/>
      <c r="M879" s="71" t="n"/>
      <c r="N879" s="71" t="n"/>
      <c r="O879" s="71" t="n"/>
      <c r="P879" s="71" t="n"/>
      <c r="Q879" s="71" t="n"/>
      <c r="R879" s="46" t="n"/>
      <c r="S879" s="46" t="n"/>
      <c r="T879" s="71" t="n"/>
      <c r="U879" s="71" t="n"/>
      <c r="V879" s="71" t="n"/>
      <c r="W879" s="71" t="n"/>
      <c r="X879" s="71" t="n"/>
    </row>
    <row r="880">
      <c r="A880" s="72" t="n"/>
      <c r="B880" s="72" t="n"/>
      <c r="C880" s="72" t="n"/>
      <c r="D880" s="72" t="n"/>
      <c r="E880" s="72" t="n"/>
      <c r="F880" s="73" t="n"/>
      <c r="G880" s="73" t="n"/>
      <c r="H880" s="72" t="n"/>
      <c r="I880" s="72" t="n"/>
      <c r="J880" s="72" t="n"/>
      <c r="K880" s="72" t="n"/>
      <c r="L880" s="72" t="n"/>
      <c r="M880" s="72" t="n"/>
      <c r="N880" s="72" t="n"/>
      <c r="O880" s="72" t="n"/>
      <c r="P880" s="72" t="n"/>
      <c r="Q880" s="72" t="n"/>
      <c r="R880" s="73" t="n"/>
      <c r="S880" s="73" t="n"/>
      <c r="T880" s="72" t="n"/>
      <c r="U880" s="72" t="n"/>
      <c r="V880" s="72" t="n"/>
      <c r="W880" s="72" t="n"/>
      <c r="X880" s="72" t="n"/>
    </row>
    <row r="881">
      <c r="A881" s="71" t="n"/>
      <c r="B881" s="71" t="n"/>
      <c r="C881" s="71" t="n"/>
      <c r="D881" s="71" t="n"/>
      <c r="E881" s="71" t="n"/>
      <c r="F881" s="46" t="n"/>
      <c r="G881" s="46" t="n"/>
      <c r="H881" s="71" t="n"/>
      <c r="I881" s="71" t="n"/>
      <c r="J881" s="71" t="n"/>
      <c r="K881" s="71" t="n"/>
      <c r="L881" s="71" t="n"/>
      <c r="M881" s="71" t="n"/>
      <c r="N881" s="71" t="n"/>
      <c r="O881" s="71" t="n"/>
      <c r="P881" s="71" t="n"/>
      <c r="Q881" s="71" t="n"/>
      <c r="R881" s="46" t="n"/>
      <c r="S881" s="46" t="n"/>
      <c r="T881" s="71" t="n"/>
      <c r="U881" s="71" t="n"/>
      <c r="V881" s="71" t="n"/>
      <c r="W881" s="71" t="n"/>
      <c r="X881" s="71" t="n"/>
    </row>
    <row r="882">
      <c r="A882" s="72" t="n"/>
      <c r="B882" s="72" t="n"/>
      <c r="C882" s="72" t="n"/>
      <c r="D882" s="72" t="n"/>
      <c r="E882" s="72" t="n"/>
      <c r="F882" s="73" t="n"/>
      <c r="G882" s="73" t="n"/>
      <c r="H882" s="72" t="n"/>
      <c r="I882" s="72" t="n"/>
      <c r="J882" s="72" t="n"/>
      <c r="K882" s="72" t="n"/>
      <c r="L882" s="72" t="n"/>
      <c r="M882" s="72" t="n"/>
      <c r="N882" s="72" t="n"/>
      <c r="O882" s="72" t="n"/>
      <c r="P882" s="72" t="n"/>
      <c r="Q882" s="72" t="n"/>
      <c r="R882" s="73" t="n"/>
      <c r="S882" s="73" t="n"/>
      <c r="T882" s="72" t="n"/>
      <c r="U882" s="72" t="n"/>
      <c r="V882" s="72" t="n"/>
      <c r="W882" s="72" t="n"/>
      <c r="X882" s="72" t="n"/>
    </row>
    <row r="883">
      <c r="A883" s="71" t="n"/>
      <c r="B883" s="71" t="n"/>
      <c r="C883" s="71" t="n"/>
      <c r="D883" s="71" t="n"/>
      <c r="E883" s="71" t="n"/>
      <c r="F883" s="46" t="n"/>
      <c r="G883" s="46" t="n"/>
      <c r="H883" s="71" t="n"/>
      <c r="I883" s="71" t="n"/>
      <c r="J883" s="71" t="n"/>
      <c r="K883" s="71" t="n"/>
      <c r="L883" s="71" t="n"/>
      <c r="M883" s="71" t="n"/>
      <c r="N883" s="71" t="n"/>
      <c r="O883" s="71" t="n"/>
      <c r="P883" s="71" t="n"/>
      <c r="Q883" s="71" t="n"/>
      <c r="R883" s="46" t="n"/>
      <c r="S883" s="46" t="n"/>
      <c r="T883" s="71" t="n"/>
      <c r="U883" s="71" t="n"/>
      <c r="V883" s="71" t="n"/>
      <c r="W883" s="71" t="n"/>
      <c r="X883" s="71" t="n"/>
    </row>
    <row r="884">
      <c r="A884" s="72" t="n"/>
      <c r="B884" s="72" t="n"/>
      <c r="C884" s="72" t="n"/>
      <c r="D884" s="72" t="n"/>
      <c r="E884" s="72" t="n"/>
      <c r="F884" s="73" t="n"/>
      <c r="G884" s="73" t="n"/>
      <c r="H884" s="72" t="n"/>
      <c r="I884" s="72" t="n"/>
      <c r="J884" s="72" t="n"/>
      <c r="K884" s="72" t="n"/>
      <c r="L884" s="72" t="n"/>
      <c r="M884" s="72" t="n"/>
      <c r="N884" s="72" t="n"/>
      <c r="O884" s="72" t="n"/>
      <c r="P884" s="72" t="n"/>
      <c r="Q884" s="72" t="n"/>
      <c r="R884" s="73" t="n"/>
      <c r="S884" s="73" t="n"/>
      <c r="T884" s="72" t="n"/>
      <c r="U884" s="72" t="n"/>
      <c r="V884" s="72" t="n"/>
      <c r="W884" s="72" t="n"/>
      <c r="X884" s="72" t="n"/>
    </row>
    <row r="885">
      <c r="A885" s="71" t="n"/>
      <c r="B885" s="71" t="n"/>
      <c r="C885" s="71" t="n"/>
      <c r="D885" s="71" t="n"/>
      <c r="E885" s="71" t="n"/>
      <c r="F885" s="46" t="n"/>
      <c r="G885" s="46" t="n"/>
      <c r="H885" s="71" t="n"/>
      <c r="I885" s="71" t="n"/>
      <c r="J885" s="71" t="n"/>
      <c r="K885" s="71" t="n"/>
      <c r="L885" s="71" t="n"/>
      <c r="M885" s="71" t="n"/>
      <c r="N885" s="71" t="n"/>
      <c r="O885" s="71" t="n"/>
      <c r="P885" s="71" t="n"/>
      <c r="Q885" s="71" t="n"/>
      <c r="R885" s="46" t="n"/>
      <c r="S885" s="46" t="n"/>
      <c r="T885" s="71" t="n"/>
      <c r="U885" s="71" t="n"/>
      <c r="V885" s="71" t="n"/>
      <c r="W885" s="71" t="n"/>
      <c r="X885" s="71" t="n"/>
    </row>
    <row r="886">
      <c r="A886" s="72" t="n"/>
      <c r="B886" s="72" t="n"/>
      <c r="C886" s="72" t="n"/>
      <c r="D886" s="72" t="n"/>
      <c r="E886" s="72" t="n"/>
      <c r="F886" s="73" t="n"/>
      <c r="G886" s="73" t="n"/>
      <c r="H886" s="72" t="n"/>
      <c r="I886" s="72" t="n"/>
      <c r="J886" s="72" t="n"/>
      <c r="K886" s="72" t="n"/>
      <c r="L886" s="72" t="n"/>
      <c r="M886" s="72" t="n"/>
      <c r="N886" s="72" t="n"/>
      <c r="O886" s="72" t="n"/>
      <c r="P886" s="72" t="n"/>
      <c r="Q886" s="72" t="n"/>
      <c r="R886" s="73" t="n"/>
      <c r="S886" s="73" t="n"/>
      <c r="T886" s="72" t="n"/>
      <c r="U886" s="72" t="n"/>
      <c r="V886" s="72" t="n"/>
      <c r="W886" s="72" t="n"/>
      <c r="X886" s="72" t="n"/>
    </row>
    <row r="887">
      <c r="A887" s="71" t="n"/>
      <c r="B887" s="71" t="n"/>
      <c r="C887" s="71" t="n"/>
      <c r="D887" s="71" t="n"/>
      <c r="E887" s="71" t="n"/>
      <c r="F887" s="46" t="n"/>
      <c r="G887" s="46" t="n"/>
      <c r="H887" s="71" t="n"/>
      <c r="I887" s="71" t="n"/>
      <c r="J887" s="71" t="n"/>
      <c r="K887" s="71" t="n"/>
      <c r="L887" s="71" t="n"/>
      <c r="M887" s="71" t="n"/>
      <c r="N887" s="71" t="n"/>
      <c r="O887" s="71" t="n"/>
      <c r="P887" s="71" t="n"/>
      <c r="Q887" s="71" t="n"/>
      <c r="R887" s="46" t="n"/>
      <c r="S887" s="46" t="n"/>
      <c r="T887" s="71" t="n"/>
      <c r="U887" s="71" t="n"/>
      <c r="V887" s="71" t="n"/>
      <c r="W887" s="71" t="n"/>
      <c r="X887" s="71" t="n"/>
    </row>
    <row r="888">
      <c r="A888" s="72" t="n"/>
      <c r="B888" s="72" t="n"/>
      <c r="C888" s="72" t="n"/>
      <c r="D888" s="72" t="n"/>
      <c r="E888" s="72" t="n"/>
      <c r="F888" s="73" t="n"/>
      <c r="G888" s="73" t="n"/>
      <c r="H888" s="72" t="n"/>
      <c r="I888" s="72" t="n"/>
      <c r="J888" s="72" t="n"/>
      <c r="K888" s="72" t="n"/>
      <c r="L888" s="72" t="n"/>
      <c r="M888" s="72" t="n"/>
      <c r="N888" s="72" t="n"/>
      <c r="O888" s="72" t="n"/>
      <c r="P888" s="72" t="n"/>
      <c r="Q888" s="72" t="n"/>
      <c r="R888" s="73" t="n"/>
      <c r="S888" s="73" t="n"/>
      <c r="T888" s="72" t="n"/>
      <c r="U888" s="72" t="n"/>
      <c r="V888" s="72" t="n"/>
      <c r="W888" s="72" t="n"/>
      <c r="X888" s="72" t="n"/>
    </row>
    <row r="889">
      <c r="A889" s="71" t="n"/>
      <c r="B889" s="71" t="n"/>
      <c r="C889" s="71" t="n"/>
      <c r="D889" s="71" t="n"/>
      <c r="E889" s="71" t="n"/>
      <c r="F889" s="46" t="n"/>
      <c r="G889" s="46" t="n"/>
      <c r="H889" s="71" t="n"/>
      <c r="I889" s="71" t="n"/>
      <c r="J889" s="71" t="n"/>
      <c r="K889" s="71" t="n"/>
      <c r="L889" s="71" t="n"/>
      <c r="M889" s="71" t="n"/>
      <c r="N889" s="71" t="n"/>
      <c r="O889" s="71" t="n"/>
      <c r="P889" s="71" t="n"/>
      <c r="Q889" s="71" t="n"/>
      <c r="R889" s="46" t="n"/>
      <c r="S889" s="46" t="n"/>
      <c r="T889" s="71" t="n"/>
      <c r="U889" s="71" t="n"/>
      <c r="V889" s="71" t="n"/>
      <c r="W889" s="71" t="n"/>
      <c r="X889" s="71" t="n"/>
    </row>
    <row r="890">
      <c r="A890" s="72" t="n"/>
      <c r="B890" s="72" t="n"/>
      <c r="C890" s="72" t="n"/>
      <c r="D890" s="72" t="n"/>
      <c r="E890" s="72" t="n"/>
      <c r="F890" s="73" t="n"/>
      <c r="G890" s="73" t="n"/>
      <c r="H890" s="72" t="n"/>
      <c r="I890" s="72" t="n"/>
      <c r="J890" s="72" t="n"/>
      <c r="K890" s="72" t="n"/>
      <c r="L890" s="72" t="n"/>
      <c r="M890" s="72" t="n"/>
      <c r="N890" s="72" t="n"/>
      <c r="O890" s="72" t="n"/>
      <c r="P890" s="72" t="n"/>
      <c r="Q890" s="72" t="n"/>
      <c r="R890" s="73" t="n"/>
      <c r="S890" s="73" t="n"/>
      <c r="T890" s="72" t="n"/>
      <c r="U890" s="72" t="n"/>
      <c r="V890" s="72" t="n"/>
      <c r="W890" s="72" t="n"/>
      <c r="X890" s="72" t="n"/>
    </row>
    <row r="891">
      <c r="A891" s="71" t="n"/>
      <c r="B891" s="71" t="n"/>
      <c r="C891" s="71" t="n"/>
      <c r="D891" s="71" t="n"/>
      <c r="E891" s="71" t="n"/>
      <c r="F891" s="46" t="n"/>
      <c r="G891" s="46" t="n"/>
      <c r="H891" s="71" t="n"/>
      <c r="I891" s="71" t="n"/>
      <c r="J891" s="71" t="n"/>
      <c r="K891" s="71" t="n"/>
      <c r="L891" s="71" t="n"/>
      <c r="M891" s="71" t="n"/>
      <c r="N891" s="71" t="n"/>
      <c r="O891" s="71" t="n"/>
      <c r="P891" s="71" t="n"/>
      <c r="Q891" s="71" t="n"/>
      <c r="R891" s="46" t="n"/>
      <c r="S891" s="46" t="n"/>
      <c r="T891" s="71" t="n"/>
      <c r="U891" s="71" t="n"/>
      <c r="V891" s="71" t="n"/>
      <c r="W891" s="71" t="n"/>
      <c r="X891" s="71" t="n"/>
    </row>
    <row r="892">
      <c r="A892" s="72" t="n"/>
      <c r="B892" s="72" t="n"/>
      <c r="C892" s="72" t="n"/>
      <c r="D892" s="72" t="n"/>
      <c r="E892" s="72" t="n"/>
      <c r="F892" s="73" t="n"/>
      <c r="G892" s="73" t="n"/>
      <c r="H892" s="72" t="n"/>
      <c r="I892" s="72" t="n"/>
      <c r="J892" s="72" t="n"/>
      <c r="K892" s="72" t="n"/>
      <c r="L892" s="72" t="n"/>
      <c r="M892" s="72" t="n"/>
      <c r="N892" s="72" t="n"/>
      <c r="O892" s="72" t="n"/>
      <c r="P892" s="72" t="n"/>
      <c r="Q892" s="72" t="n"/>
      <c r="R892" s="73" t="n"/>
      <c r="S892" s="73" t="n"/>
      <c r="T892" s="72" t="n"/>
      <c r="U892" s="72" t="n"/>
      <c r="V892" s="72" t="n"/>
      <c r="W892" s="72" t="n"/>
      <c r="X892" s="72" t="n"/>
    </row>
    <row r="893">
      <c r="A893" s="71" t="n"/>
      <c r="B893" s="71" t="n"/>
      <c r="C893" s="71" t="n"/>
      <c r="D893" s="71" t="n"/>
      <c r="E893" s="71" t="n"/>
      <c r="F893" s="46" t="n"/>
      <c r="G893" s="46" t="n"/>
      <c r="H893" s="71" t="n"/>
      <c r="I893" s="71" t="n"/>
      <c r="J893" s="71" t="n"/>
      <c r="K893" s="71" t="n"/>
      <c r="L893" s="71" t="n"/>
      <c r="M893" s="71" t="n"/>
      <c r="N893" s="71" t="n"/>
      <c r="O893" s="71" t="n"/>
      <c r="P893" s="71" t="n"/>
      <c r="Q893" s="71" t="n"/>
      <c r="R893" s="46" t="n"/>
      <c r="S893" s="46" t="n"/>
      <c r="T893" s="71" t="n"/>
      <c r="U893" s="71" t="n"/>
      <c r="V893" s="71" t="n"/>
      <c r="W893" s="71" t="n"/>
      <c r="X893" s="71" t="n"/>
    </row>
    <row r="894">
      <c r="A894" s="72" t="n"/>
      <c r="B894" s="72" t="n"/>
      <c r="C894" s="72" t="n"/>
      <c r="D894" s="72" t="n"/>
      <c r="E894" s="72" t="n"/>
      <c r="F894" s="73" t="n"/>
      <c r="G894" s="73" t="n"/>
      <c r="H894" s="72" t="n"/>
      <c r="I894" s="72" t="n"/>
      <c r="J894" s="72" t="n"/>
      <c r="K894" s="72" t="n"/>
      <c r="L894" s="72" t="n"/>
      <c r="M894" s="72" t="n"/>
      <c r="N894" s="72" t="n"/>
      <c r="O894" s="72" t="n"/>
      <c r="P894" s="72" t="n"/>
      <c r="Q894" s="72" t="n"/>
      <c r="R894" s="73" t="n"/>
      <c r="S894" s="73" t="n"/>
      <c r="T894" s="72" t="n"/>
      <c r="U894" s="72" t="n"/>
      <c r="V894" s="72" t="n"/>
      <c r="W894" s="72" t="n"/>
      <c r="X894" s="72" t="n"/>
    </row>
    <row r="895">
      <c r="A895" s="71" t="n"/>
      <c r="B895" s="71" t="n"/>
      <c r="C895" s="71" t="n"/>
      <c r="D895" s="71" t="n"/>
      <c r="E895" s="71" t="n"/>
      <c r="F895" s="46" t="n"/>
      <c r="G895" s="46" t="n"/>
      <c r="H895" s="71" t="n"/>
      <c r="I895" s="71" t="n"/>
      <c r="J895" s="71" t="n"/>
      <c r="K895" s="71" t="n"/>
      <c r="L895" s="71" t="n"/>
      <c r="M895" s="71" t="n"/>
      <c r="N895" s="71" t="n"/>
      <c r="O895" s="71" t="n"/>
      <c r="P895" s="71" t="n"/>
      <c r="Q895" s="71" t="n"/>
      <c r="R895" s="46" t="n"/>
      <c r="S895" s="46" t="n"/>
      <c r="T895" s="71" t="n"/>
      <c r="U895" s="71" t="n"/>
      <c r="V895" s="71" t="n"/>
      <c r="W895" s="71" t="n"/>
      <c r="X895" s="71" t="n"/>
    </row>
    <row r="896">
      <c r="A896" s="72" t="n"/>
      <c r="B896" s="72" t="n"/>
      <c r="C896" s="72" t="n"/>
      <c r="D896" s="72" t="n"/>
      <c r="E896" s="72" t="n"/>
      <c r="F896" s="73" t="n"/>
      <c r="G896" s="73" t="n"/>
      <c r="H896" s="72" t="n"/>
      <c r="I896" s="72" t="n"/>
      <c r="J896" s="72" t="n"/>
      <c r="K896" s="72" t="n"/>
      <c r="L896" s="72" t="n"/>
      <c r="M896" s="72" t="n"/>
      <c r="N896" s="72" t="n"/>
      <c r="O896" s="72" t="n"/>
      <c r="P896" s="72" t="n"/>
      <c r="Q896" s="72" t="n"/>
      <c r="R896" s="73" t="n"/>
      <c r="S896" s="73" t="n"/>
      <c r="T896" s="72" t="n"/>
      <c r="U896" s="72" t="n"/>
      <c r="V896" s="72" t="n"/>
      <c r="W896" s="72" t="n"/>
      <c r="X896" s="72" t="n"/>
    </row>
    <row r="897">
      <c r="A897" s="71" t="n"/>
      <c r="B897" s="71" t="n"/>
      <c r="C897" s="71" t="n"/>
      <c r="D897" s="71" t="n"/>
      <c r="E897" s="71" t="n"/>
      <c r="F897" s="46" t="n"/>
      <c r="G897" s="46" t="n"/>
      <c r="H897" s="71" t="n"/>
      <c r="I897" s="71" t="n"/>
      <c r="J897" s="71" t="n"/>
      <c r="K897" s="71" t="n"/>
      <c r="L897" s="71" t="n"/>
      <c r="M897" s="71" t="n"/>
      <c r="N897" s="71" t="n"/>
      <c r="O897" s="71" t="n"/>
      <c r="P897" s="71" t="n"/>
      <c r="Q897" s="71" t="n"/>
      <c r="R897" s="46" t="n"/>
      <c r="S897" s="46" t="n"/>
      <c r="T897" s="71" t="n"/>
      <c r="U897" s="71" t="n"/>
      <c r="V897" s="71" t="n"/>
      <c r="W897" s="71" t="n"/>
      <c r="X897" s="71" t="n"/>
    </row>
    <row r="898">
      <c r="A898" s="72" t="n"/>
      <c r="B898" s="72" t="n"/>
      <c r="C898" s="72" t="n"/>
      <c r="D898" s="72" t="n"/>
      <c r="E898" s="72" t="n"/>
      <c r="F898" s="73" t="n"/>
      <c r="G898" s="73" t="n"/>
      <c r="H898" s="72" t="n"/>
      <c r="I898" s="72" t="n"/>
      <c r="J898" s="72" t="n"/>
      <c r="K898" s="72" t="n"/>
      <c r="L898" s="72" t="n"/>
      <c r="M898" s="72" t="n"/>
      <c r="N898" s="72" t="n"/>
      <c r="O898" s="72" t="n"/>
      <c r="P898" s="72" t="n"/>
      <c r="Q898" s="72" t="n"/>
      <c r="R898" s="73" t="n"/>
      <c r="S898" s="73" t="n"/>
      <c r="T898" s="72" t="n"/>
      <c r="U898" s="72" t="n"/>
      <c r="V898" s="72" t="n"/>
      <c r="W898" s="72" t="n"/>
      <c r="X898" s="72" t="n"/>
    </row>
    <row r="899">
      <c r="A899" s="71" t="n"/>
      <c r="B899" s="71" t="n"/>
      <c r="C899" s="71" t="n"/>
      <c r="D899" s="71" t="n"/>
      <c r="E899" s="71" t="n"/>
      <c r="F899" s="46" t="n"/>
      <c r="G899" s="46" t="n"/>
      <c r="H899" s="71" t="n"/>
      <c r="I899" s="71" t="n"/>
      <c r="J899" s="71" t="n"/>
      <c r="K899" s="71" t="n"/>
      <c r="L899" s="71" t="n"/>
      <c r="M899" s="71" t="n"/>
      <c r="N899" s="71" t="n"/>
      <c r="O899" s="71" t="n"/>
      <c r="P899" s="71" t="n"/>
      <c r="Q899" s="71" t="n"/>
      <c r="R899" s="46" t="n"/>
      <c r="S899" s="46" t="n"/>
      <c r="T899" s="71" t="n"/>
      <c r="U899" s="71" t="n"/>
      <c r="V899" s="71" t="n"/>
      <c r="W899" s="71" t="n"/>
      <c r="X899" s="71" t="n"/>
    </row>
    <row r="900">
      <c r="A900" s="72" t="n"/>
      <c r="B900" s="72" t="n"/>
      <c r="C900" s="72" t="n"/>
      <c r="D900" s="72" t="n"/>
      <c r="E900" s="72" t="n"/>
      <c r="F900" s="73" t="n"/>
      <c r="G900" s="73" t="n"/>
      <c r="H900" s="72" t="n"/>
      <c r="I900" s="72" t="n"/>
      <c r="J900" s="72" t="n"/>
      <c r="K900" s="72" t="n"/>
      <c r="L900" s="72" t="n"/>
      <c r="M900" s="72" t="n"/>
      <c r="N900" s="72" t="n"/>
      <c r="O900" s="72" t="n"/>
      <c r="P900" s="72" t="n"/>
      <c r="Q900" s="72" t="n"/>
      <c r="R900" s="73" t="n"/>
      <c r="S900" s="73" t="n"/>
      <c r="T900" s="72" t="n"/>
      <c r="U900" s="72" t="n"/>
      <c r="V900" s="72" t="n"/>
      <c r="W900" s="72" t="n"/>
      <c r="X900" s="72" t="n"/>
    </row>
    <row r="901">
      <c r="A901" s="71" t="n"/>
      <c r="B901" s="71" t="n"/>
      <c r="C901" s="71" t="n"/>
      <c r="D901" s="71" t="n"/>
      <c r="E901" s="71" t="n"/>
      <c r="F901" s="46" t="n"/>
      <c r="G901" s="46" t="n"/>
      <c r="H901" s="71" t="n"/>
      <c r="I901" s="71" t="n"/>
      <c r="J901" s="71" t="n"/>
      <c r="K901" s="71" t="n"/>
      <c r="L901" s="71" t="n"/>
      <c r="M901" s="71" t="n"/>
      <c r="N901" s="71" t="n"/>
      <c r="O901" s="71" t="n"/>
      <c r="P901" s="71" t="n"/>
      <c r="Q901" s="71" t="n"/>
      <c r="R901" s="46" t="n"/>
      <c r="S901" s="46" t="n"/>
      <c r="T901" s="71" t="n"/>
      <c r="U901" s="71" t="n"/>
      <c r="V901" s="71" t="n"/>
      <c r="W901" s="71" t="n"/>
      <c r="X901" s="71" t="n"/>
    </row>
    <row r="902">
      <c r="A902" s="72" t="n"/>
      <c r="B902" s="72" t="n"/>
      <c r="C902" s="72" t="n"/>
      <c r="D902" s="72" t="n"/>
      <c r="E902" s="72" t="n"/>
      <c r="F902" s="73" t="n"/>
      <c r="G902" s="73" t="n"/>
      <c r="H902" s="72" t="n"/>
      <c r="I902" s="72" t="n"/>
      <c r="J902" s="72" t="n"/>
      <c r="K902" s="72" t="n"/>
      <c r="L902" s="72" t="n"/>
      <c r="M902" s="72" t="n"/>
      <c r="N902" s="72" t="n"/>
      <c r="O902" s="72" t="n"/>
      <c r="P902" s="72" t="n"/>
      <c r="Q902" s="72" t="n"/>
      <c r="R902" s="73" t="n"/>
      <c r="S902" s="73" t="n"/>
      <c r="T902" s="72" t="n"/>
      <c r="U902" s="72" t="n"/>
      <c r="V902" s="72" t="n"/>
      <c r="W902" s="72" t="n"/>
      <c r="X902" s="72" t="n"/>
    </row>
    <row r="903">
      <c r="A903" s="71" t="n"/>
      <c r="B903" s="71" t="n"/>
      <c r="C903" s="71" t="n"/>
      <c r="D903" s="71" t="n"/>
      <c r="E903" s="71" t="n"/>
      <c r="F903" s="46" t="n"/>
      <c r="G903" s="46" t="n"/>
      <c r="H903" s="71" t="n"/>
      <c r="I903" s="71" t="n"/>
      <c r="J903" s="71" t="n"/>
      <c r="K903" s="71" t="n"/>
      <c r="L903" s="71" t="n"/>
      <c r="M903" s="71" t="n"/>
      <c r="N903" s="71" t="n"/>
      <c r="O903" s="71" t="n"/>
      <c r="P903" s="71" t="n"/>
      <c r="Q903" s="71" t="n"/>
      <c r="R903" s="46" t="n"/>
      <c r="S903" s="46" t="n"/>
      <c r="T903" s="71" t="n"/>
      <c r="U903" s="71" t="n"/>
      <c r="V903" s="71" t="n"/>
      <c r="W903" s="71" t="n"/>
      <c r="X903" s="71" t="n"/>
    </row>
    <row r="904">
      <c r="A904" s="72" t="n"/>
      <c r="B904" s="72" t="n"/>
      <c r="C904" s="72" t="n"/>
      <c r="D904" s="72" t="n"/>
      <c r="E904" s="72" t="n"/>
      <c r="F904" s="73" t="n"/>
      <c r="G904" s="73" t="n"/>
      <c r="H904" s="72" t="n"/>
      <c r="I904" s="72" t="n"/>
      <c r="J904" s="72" t="n"/>
      <c r="K904" s="72" t="n"/>
      <c r="L904" s="72" t="n"/>
      <c r="M904" s="72" t="n"/>
      <c r="N904" s="72" t="n"/>
      <c r="O904" s="72" t="n"/>
      <c r="P904" s="72" t="n"/>
      <c r="Q904" s="72" t="n"/>
      <c r="R904" s="73" t="n"/>
      <c r="S904" s="73" t="n"/>
      <c r="T904" s="72" t="n"/>
      <c r="U904" s="72" t="n"/>
      <c r="V904" s="72" t="n"/>
      <c r="W904" s="72" t="n"/>
      <c r="X904" s="72" t="n"/>
    </row>
    <row r="905">
      <c r="A905" s="71" t="n"/>
      <c r="B905" s="71" t="n"/>
      <c r="C905" s="71" t="n"/>
      <c r="D905" s="71" t="n"/>
      <c r="E905" s="71" t="n"/>
      <c r="F905" s="46" t="n"/>
      <c r="G905" s="46" t="n"/>
      <c r="H905" s="71" t="n"/>
      <c r="I905" s="71" t="n"/>
      <c r="J905" s="71" t="n"/>
      <c r="K905" s="71" t="n"/>
      <c r="L905" s="71" t="n"/>
      <c r="M905" s="71" t="n"/>
      <c r="N905" s="71" t="n"/>
      <c r="O905" s="71" t="n"/>
      <c r="P905" s="71" t="n"/>
      <c r="Q905" s="71" t="n"/>
      <c r="R905" s="46" t="n"/>
      <c r="S905" s="46" t="n"/>
      <c r="T905" s="71" t="n"/>
      <c r="U905" s="71" t="n"/>
      <c r="V905" s="71" t="n"/>
      <c r="W905" s="71" t="n"/>
      <c r="X905" s="71" t="n"/>
    </row>
    <row r="906">
      <c r="A906" s="72" t="n"/>
      <c r="B906" s="72" t="n"/>
      <c r="C906" s="72" t="n"/>
      <c r="D906" s="72" t="n"/>
      <c r="E906" s="72" t="n"/>
      <c r="F906" s="73" t="n"/>
      <c r="G906" s="73" t="n"/>
      <c r="H906" s="72" t="n"/>
      <c r="I906" s="72" t="n"/>
      <c r="J906" s="72" t="n"/>
      <c r="K906" s="72" t="n"/>
      <c r="L906" s="72" t="n"/>
      <c r="M906" s="72" t="n"/>
      <c r="N906" s="72" t="n"/>
      <c r="O906" s="72" t="n"/>
      <c r="P906" s="72" t="n"/>
      <c r="Q906" s="72" t="n"/>
      <c r="R906" s="73" t="n"/>
      <c r="S906" s="73" t="n"/>
      <c r="T906" s="72" t="n"/>
      <c r="U906" s="72" t="n"/>
      <c r="V906" s="72" t="n"/>
      <c r="W906" s="72" t="n"/>
      <c r="X906" s="72" t="n"/>
    </row>
    <row r="907">
      <c r="A907" s="71" t="n"/>
      <c r="B907" s="71" t="n"/>
      <c r="C907" s="71" t="n"/>
      <c r="D907" s="71" t="n"/>
      <c r="E907" s="71" t="n"/>
      <c r="F907" s="46" t="n"/>
      <c r="G907" s="46" t="n"/>
      <c r="H907" s="71" t="n"/>
      <c r="I907" s="71" t="n"/>
      <c r="J907" s="71" t="n"/>
      <c r="K907" s="71" t="n"/>
      <c r="L907" s="71" t="n"/>
      <c r="M907" s="71" t="n"/>
      <c r="N907" s="71" t="n"/>
      <c r="O907" s="71" t="n"/>
      <c r="P907" s="71" t="n"/>
      <c r="Q907" s="71" t="n"/>
      <c r="R907" s="46" t="n"/>
      <c r="S907" s="46" t="n"/>
      <c r="T907" s="71" t="n"/>
      <c r="U907" s="71" t="n"/>
      <c r="V907" s="71" t="n"/>
      <c r="W907" s="71" t="n"/>
      <c r="X907" s="71" t="n"/>
    </row>
    <row r="908">
      <c r="A908" s="72" t="n"/>
      <c r="B908" s="72" t="n"/>
      <c r="C908" s="72" t="n"/>
      <c r="D908" s="72" t="n"/>
      <c r="E908" s="72" t="n"/>
      <c r="F908" s="73" t="n"/>
      <c r="G908" s="73" t="n"/>
      <c r="H908" s="72" t="n"/>
      <c r="I908" s="72" t="n"/>
      <c r="J908" s="72" t="n"/>
      <c r="K908" s="72" t="n"/>
      <c r="L908" s="72" t="n"/>
      <c r="M908" s="72" t="n"/>
      <c r="N908" s="72" t="n"/>
      <c r="O908" s="72" t="n"/>
      <c r="P908" s="72" t="n"/>
      <c r="Q908" s="72" t="n"/>
      <c r="R908" s="73" t="n"/>
      <c r="S908" s="73" t="n"/>
      <c r="T908" s="72" t="n"/>
      <c r="U908" s="72" t="n"/>
      <c r="V908" s="72" t="n"/>
      <c r="W908" s="72" t="n"/>
      <c r="X908" s="72" t="n"/>
    </row>
    <row r="909">
      <c r="A909" s="71" t="n"/>
      <c r="B909" s="71" t="n"/>
      <c r="C909" s="71" t="n"/>
      <c r="D909" s="71" t="n"/>
      <c r="E909" s="71" t="n"/>
      <c r="F909" s="46" t="n"/>
      <c r="G909" s="46" t="n"/>
      <c r="H909" s="71" t="n"/>
      <c r="I909" s="71" t="n"/>
      <c r="J909" s="71" t="n"/>
      <c r="K909" s="71" t="n"/>
      <c r="L909" s="71" t="n"/>
      <c r="M909" s="71" t="n"/>
      <c r="N909" s="71" t="n"/>
      <c r="O909" s="71" t="n"/>
      <c r="P909" s="71" t="n"/>
      <c r="Q909" s="71" t="n"/>
      <c r="R909" s="46" t="n"/>
      <c r="S909" s="46" t="n"/>
      <c r="T909" s="71" t="n"/>
      <c r="U909" s="71" t="n"/>
      <c r="V909" s="71" t="n"/>
      <c r="W909" s="71" t="n"/>
      <c r="X909" s="71" t="n"/>
    </row>
    <row r="910">
      <c r="A910" s="72" t="n"/>
      <c r="B910" s="72" t="n"/>
      <c r="C910" s="72" t="n"/>
      <c r="D910" s="72" t="n"/>
      <c r="E910" s="72" t="n"/>
      <c r="F910" s="73" t="n"/>
      <c r="G910" s="73" t="n"/>
      <c r="H910" s="72" t="n"/>
      <c r="I910" s="72" t="n"/>
      <c r="J910" s="72" t="n"/>
      <c r="K910" s="72" t="n"/>
      <c r="L910" s="72" t="n"/>
      <c r="M910" s="72" t="n"/>
      <c r="N910" s="72" t="n"/>
      <c r="O910" s="72" t="n"/>
      <c r="P910" s="72" t="n"/>
      <c r="Q910" s="72" t="n"/>
      <c r="R910" s="73" t="n"/>
      <c r="S910" s="73" t="n"/>
      <c r="T910" s="72" t="n"/>
      <c r="U910" s="72" t="n"/>
      <c r="V910" s="72" t="n"/>
      <c r="W910" s="72" t="n"/>
      <c r="X910" s="72" t="n"/>
    </row>
    <row r="911">
      <c r="A911" s="71" t="n"/>
      <c r="B911" s="71" t="n"/>
      <c r="C911" s="71" t="n"/>
      <c r="D911" s="71" t="n"/>
      <c r="E911" s="71" t="n"/>
      <c r="F911" s="46" t="n"/>
      <c r="G911" s="46" t="n"/>
      <c r="H911" s="71" t="n"/>
      <c r="I911" s="71" t="n"/>
      <c r="J911" s="71" t="n"/>
      <c r="K911" s="71" t="n"/>
      <c r="L911" s="71" t="n"/>
      <c r="M911" s="71" t="n"/>
      <c r="N911" s="71" t="n"/>
      <c r="O911" s="71" t="n"/>
      <c r="P911" s="71" t="n"/>
      <c r="Q911" s="71" t="n"/>
      <c r="R911" s="46" t="n"/>
      <c r="S911" s="46" t="n"/>
      <c r="T911" s="71" t="n"/>
      <c r="U911" s="71" t="n"/>
      <c r="V911" s="71" t="n"/>
      <c r="W911" s="71" t="n"/>
      <c r="X911" s="71" t="n"/>
    </row>
    <row r="912">
      <c r="A912" s="72" t="n"/>
      <c r="B912" s="72" t="n"/>
      <c r="C912" s="72" t="n"/>
      <c r="D912" s="72" t="n"/>
      <c r="E912" s="72" t="n"/>
      <c r="F912" s="73" t="n"/>
      <c r="G912" s="73" t="n"/>
      <c r="H912" s="72" t="n"/>
      <c r="I912" s="72" t="n"/>
      <c r="J912" s="72" t="n"/>
      <c r="K912" s="72" t="n"/>
      <c r="L912" s="72" t="n"/>
      <c r="M912" s="72" t="n"/>
      <c r="N912" s="72" t="n"/>
      <c r="O912" s="72" t="n"/>
      <c r="P912" s="72" t="n"/>
      <c r="Q912" s="72" t="n"/>
      <c r="R912" s="73" t="n"/>
      <c r="S912" s="73" t="n"/>
      <c r="T912" s="72" t="n"/>
      <c r="U912" s="72" t="n"/>
      <c r="V912" s="72" t="n"/>
      <c r="W912" s="72" t="n"/>
      <c r="X912" s="72" t="n"/>
    </row>
    <row r="913">
      <c r="A913" s="71" t="n"/>
      <c r="B913" s="71" t="n"/>
      <c r="C913" s="71" t="n"/>
      <c r="D913" s="71" t="n"/>
      <c r="E913" s="71" t="n"/>
      <c r="F913" s="46" t="n"/>
      <c r="G913" s="46" t="n"/>
      <c r="H913" s="71" t="n"/>
      <c r="I913" s="71" t="n"/>
      <c r="J913" s="71" t="n"/>
      <c r="K913" s="71" t="n"/>
      <c r="L913" s="71" t="n"/>
      <c r="M913" s="71" t="n"/>
      <c r="N913" s="71" t="n"/>
      <c r="O913" s="71" t="n"/>
      <c r="P913" s="71" t="n"/>
      <c r="Q913" s="71" t="n"/>
      <c r="R913" s="46" t="n"/>
      <c r="S913" s="46" t="n"/>
      <c r="T913" s="71" t="n"/>
      <c r="U913" s="71" t="n"/>
      <c r="V913" s="71" t="n"/>
      <c r="W913" s="71" t="n"/>
      <c r="X913" s="71" t="n"/>
    </row>
    <row r="914">
      <c r="A914" s="72" t="n"/>
      <c r="B914" s="72" t="n"/>
      <c r="C914" s="72" t="n"/>
      <c r="D914" s="72" t="n"/>
      <c r="E914" s="72" t="n"/>
      <c r="F914" s="73" t="n"/>
      <c r="G914" s="73" t="n"/>
      <c r="H914" s="72" t="n"/>
      <c r="I914" s="72" t="n"/>
      <c r="J914" s="72" t="n"/>
      <c r="K914" s="72" t="n"/>
      <c r="L914" s="72" t="n"/>
      <c r="M914" s="72" t="n"/>
      <c r="N914" s="72" t="n"/>
      <c r="O914" s="72" t="n"/>
      <c r="P914" s="72" t="n"/>
      <c r="Q914" s="72" t="n"/>
      <c r="R914" s="73" t="n"/>
      <c r="S914" s="73" t="n"/>
      <c r="T914" s="72" t="n"/>
      <c r="U914" s="72" t="n"/>
      <c r="V914" s="72" t="n"/>
      <c r="W914" s="72" t="n"/>
      <c r="X914" s="72" t="n"/>
    </row>
    <row r="915">
      <c r="A915" s="71" t="n"/>
      <c r="B915" s="71" t="n"/>
      <c r="C915" s="71" t="n"/>
      <c r="D915" s="71" t="n"/>
      <c r="E915" s="71" t="n"/>
      <c r="F915" s="46" t="n"/>
      <c r="G915" s="46" t="n"/>
      <c r="H915" s="71" t="n"/>
      <c r="I915" s="71" t="n"/>
      <c r="J915" s="71" t="n"/>
      <c r="K915" s="71" t="n"/>
      <c r="L915" s="71" t="n"/>
      <c r="M915" s="71" t="n"/>
      <c r="N915" s="71" t="n"/>
      <c r="O915" s="71" t="n"/>
      <c r="P915" s="71" t="n"/>
      <c r="Q915" s="71" t="n"/>
      <c r="R915" s="46" t="n"/>
      <c r="S915" s="46" t="n"/>
      <c r="T915" s="71" t="n"/>
      <c r="U915" s="71" t="n"/>
      <c r="V915" s="71" t="n"/>
      <c r="W915" s="71" t="n"/>
      <c r="X915" s="71" t="n"/>
    </row>
    <row r="916">
      <c r="A916" s="72" t="n"/>
      <c r="B916" s="72" t="n"/>
      <c r="C916" s="72" t="n"/>
      <c r="D916" s="72" t="n"/>
      <c r="E916" s="72" t="n"/>
      <c r="F916" s="73" t="n"/>
      <c r="G916" s="73" t="n"/>
      <c r="H916" s="72" t="n"/>
      <c r="I916" s="72" t="n"/>
      <c r="J916" s="72" t="n"/>
      <c r="K916" s="72" t="n"/>
      <c r="L916" s="72" t="n"/>
      <c r="M916" s="72" t="n"/>
      <c r="N916" s="72" t="n"/>
      <c r="O916" s="72" t="n"/>
      <c r="P916" s="72" t="n"/>
      <c r="Q916" s="72" t="n"/>
      <c r="R916" s="73" t="n"/>
      <c r="S916" s="73" t="n"/>
      <c r="T916" s="72" t="n"/>
      <c r="U916" s="72" t="n"/>
      <c r="V916" s="72" t="n"/>
      <c r="W916" s="72" t="n"/>
      <c r="X916" s="72" t="n"/>
    </row>
    <row r="917">
      <c r="A917" s="71" t="n"/>
      <c r="B917" s="71" t="n"/>
      <c r="C917" s="71" t="n"/>
      <c r="D917" s="71" t="n"/>
      <c r="E917" s="71" t="n"/>
      <c r="F917" s="46" t="n"/>
      <c r="G917" s="46" t="n"/>
      <c r="H917" s="71" t="n"/>
      <c r="I917" s="71" t="n"/>
      <c r="J917" s="71" t="n"/>
      <c r="K917" s="71" t="n"/>
      <c r="L917" s="71" t="n"/>
      <c r="M917" s="71" t="n"/>
      <c r="N917" s="71" t="n"/>
      <c r="O917" s="71" t="n"/>
      <c r="P917" s="71" t="n"/>
      <c r="Q917" s="71" t="n"/>
      <c r="R917" s="46" t="n"/>
      <c r="S917" s="46" t="n"/>
      <c r="T917" s="71" t="n"/>
      <c r="U917" s="71" t="n"/>
      <c r="V917" s="71" t="n"/>
      <c r="W917" s="71" t="n"/>
      <c r="X917" s="71" t="n"/>
    </row>
    <row r="918">
      <c r="A918" s="72" t="n"/>
      <c r="B918" s="72" t="n"/>
      <c r="C918" s="72" t="n"/>
      <c r="D918" s="72" t="n"/>
      <c r="E918" s="72" t="n"/>
      <c r="F918" s="73" t="n"/>
      <c r="G918" s="73" t="n"/>
      <c r="H918" s="72" t="n"/>
      <c r="I918" s="72" t="n"/>
      <c r="J918" s="72" t="n"/>
      <c r="K918" s="72" t="n"/>
      <c r="L918" s="72" t="n"/>
      <c r="M918" s="72" t="n"/>
      <c r="N918" s="72" t="n"/>
      <c r="O918" s="72" t="n"/>
      <c r="P918" s="72" t="n"/>
      <c r="Q918" s="72" t="n"/>
      <c r="R918" s="73" t="n"/>
      <c r="S918" s="73" t="n"/>
      <c r="T918" s="72" t="n"/>
      <c r="U918" s="72" t="n"/>
      <c r="V918" s="72" t="n"/>
      <c r="W918" s="72" t="n"/>
      <c r="X918" s="72" t="n"/>
    </row>
    <row r="919">
      <c r="A919" s="71" t="n"/>
      <c r="B919" s="71" t="n"/>
      <c r="C919" s="71" t="n"/>
      <c r="D919" s="71" t="n"/>
      <c r="E919" s="71" t="n"/>
      <c r="F919" s="46" t="n"/>
      <c r="G919" s="46" t="n"/>
      <c r="H919" s="71" t="n"/>
      <c r="I919" s="71" t="n"/>
      <c r="J919" s="71" t="n"/>
      <c r="K919" s="71" t="n"/>
      <c r="L919" s="71" t="n"/>
      <c r="M919" s="71" t="n"/>
      <c r="N919" s="71" t="n"/>
      <c r="O919" s="71" t="n"/>
      <c r="P919" s="71" t="n"/>
      <c r="Q919" s="71" t="n"/>
      <c r="R919" s="46" t="n"/>
      <c r="S919" s="46" t="n"/>
      <c r="T919" s="71" t="n"/>
      <c r="U919" s="71" t="n"/>
      <c r="V919" s="71" t="n"/>
      <c r="W919" s="71" t="n"/>
      <c r="X919" s="71" t="n"/>
    </row>
    <row r="920">
      <c r="A920" s="72" t="n"/>
      <c r="B920" s="72" t="n"/>
      <c r="C920" s="72" t="n"/>
      <c r="D920" s="72" t="n"/>
      <c r="E920" s="72" t="n"/>
      <c r="F920" s="73" t="n"/>
      <c r="G920" s="73" t="n"/>
      <c r="H920" s="72" t="n"/>
      <c r="I920" s="72" t="n"/>
      <c r="J920" s="72" t="n"/>
      <c r="K920" s="72" t="n"/>
      <c r="L920" s="72" t="n"/>
      <c r="M920" s="72" t="n"/>
      <c r="N920" s="72" t="n"/>
      <c r="O920" s="72" t="n"/>
      <c r="P920" s="72" t="n"/>
      <c r="Q920" s="72" t="n"/>
      <c r="R920" s="73" t="n"/>
      <c r="S920" s="73" t="n"/>
      <c r="T920" s="72" t="n"/>
      <c r="U920" s="72" t="n"/>
      <c r="V920" s="72" t="n"/>
      <c r="W920" s="72" t="n"/>
      <c r="X920" s="72" t="n"/>
    </row>
    <row r="921">
      <c r="A921" s="71" t="n"/>
      <c r="B921" s="71" t="n"/>
      <c r="C921" s="71" t="n"/>
      <c r="D921" s="71" t="n"/>
      <c r="E921" s="71" t="n"/>
      <c r="F921" s="46" t="n"/>
      <c r="G921" s="46" t="n"/>
      <c r="H921" s="71" t="n"/>
      <c r="I921" s="71" t="n"/>
      <c r="J921" s="71" t="n"/>
      <c r="K921" s="71" t="n"/>
      <c r="L921" s="71" t="n"/>
      <c r="M921" s="71" t="n"/>
      <c r="N921" s="71" t="n"/>
      <c r="O921" s="71" t="n"/>
      <c r="P921" s="71" t="n"/>
      <c r="Q921" s="71" t="n"/>
      <c r="R921" s="46" t="n"/>
      <c r="S921" s="46" t="n"/>
      <c r="T921" s="71" t="n"/>
      <c r="U921" s="71" t="n"/>
      <c r="V921" s="71" t="n"/>
      <c r="W921" s="71" t="n"/>
      <c r="X921" s="71" t="n"/>
    </row>
    <row r="922">
      <c r="A922" s="72" t="n"/>
      <c r="B922" s="72" t="n"/>
      <c r="C922" s="72" t="n"/>
      <c r="D922" s="72" t="n"/>
      <c r="E922" s="72" t="n"/>
      <c r="F922" s="73" t="n"/>
      <c r="G922" s="73" t="n"/>
      <c r="H922" s="72" t="n"/>
      <c r="I922" s="72" t="n"/>
      <c r="J922" s="72" t="n"/>
      <c r="K922" s="72" t="n"/>
      <c r="L922" s="72" t="n"/>
      <c r="M922" s="72" t="n"/>
      <c r="N922" s="72" t="n"/>
      <c r="O922" s="72" t="n"/>
      <c r="P922" s="72" t="n"/>
      <c r="Q922" s="72" t="n"/>
      <c r="R922" s="73" t="n"/>
      <c r="S922" s="73" t="n"/>
      <c r="T922" s="72" t="n"/>
      <c r="U922" s="72" t="n"/>
      <c r="V922" s="72" t="n"/>
      <c r="W922" s="72" t="n"/>
      <c r="X922" s="72" t="n"/>
    </row>
    <row r="923">
      <c r="A923" s="71" t="n"/>
      <c r="B923" s="71" t="n"/>
      <c r="C923" s="71" t="n"/>
      <c r="D923" s="71" t="n"/>
      <c r="E923" s="71" t="n"/>
      <c r="F923" s="46" t="n"/>
      <c r="G923" s="46" t="n"/>
      <c r="H923" s="71" t="n"/>
      <c r="I923" s="71" t="n"/>
      <c r="J923" s="71" t="n"/>
      <c r="K923" s="71" t="n"/>
      <c r="L923" s="71" t="n"/>
      <c r="M923" s="71" t="n"/>
      <c r="N923" s="71" t="n"/>
      <c r="O923" s="71" t="n"/>
      <c r="P923" s="71" t="n"/>
      <c r="Q923" s="71" t="n"/>
      <c r="R923" s="46" t="n"/>
      <c r="S923" s="46" t="n"/>
      <c r="T923" s="71" t="n"/>
      <c r="U923" s="71" t="n"/>
      <c r="V923" s="71" t="n"/>
      <c r="W923" s="71" t="n"/>
      <c r="X923" s="71" t="n"/>
    </row>
    <row r="924">
      <c r="A924" s="72" t="n"/>
      <c r="B924" s="72" t="n"/>
      <c r="C924" s="72" t="n"/>
      <c r="D924" s="72" t="n"/>
      <c r="E924" s="72" t="n"/>
      <c r="F924" s="73" t="n"/>
      <c r="G924" s="73" t="n"/>
      <c r="H924" s="72" t="n"/>
      <c r="I924" s="72" t="n"/>
      <c r="J924" s="72" t="n"/>
      <c r="K924" s="72" t="n"/>
      <c r="L924" s="72" t="n"/>
      <c r="M924" s="72" t="n"/>
      <c r="N924" s="72" t="n"/>
      <c r="O924" s="72" t="n"/>
      <c r="P924" s="72" t="n"/>
      <c r="Q924" s="72" t="n"/>
      <c r="R924" s="73" t="n"/>
      <c r="S924" s="73" t="n"/>
      <c r="T924" s="72" t="n"/>
      <c r="U924" s="72" t="n"/>
      <c r="V924" s="72" t="n"/>
      <c r="W924" s="72" t="n"/>
      <c r="X924" s="72" t="n"/>
    </row>
    <row r="925">
      <c r="A925" s="71" t="n"/>
      <c r="B925" s="71" t="n"/>
      <c r="C925" s="71" t="n"/>
      <c r="D925" s="71" t="n"/>
      <c r="E925" s="71" t="n"/>
      <c r="F925" s="46" t="n"/>
      <c r="G925" s="46" t="n"/>
      <c r="H925" s="71" t="n"/>
      <c r="I925" s="71" t="n"/>
      <c r="J925" s="71" t="n"/>
      <c r="K925" s="71" t="n"/>
      <c r="L925" s="71" t="n"/>
      <c r="M925" s="71" t="n"/>
      <c r="N925" s="71" t="n"/>
      <c r="O925" s="71" t="n"/>
      <c r="P925" s="71" t="n"/>
      <c r="Q925" s="71" t="n"/>
      <c r="R925" s="46" t="n"/>
      <c r="S925" s="46" t="n"/>
      <c r="T925" s="71" t="n"/>
      <c r="U925" s="71" t="n"/>
      <c r="V925" s="71" t="n"/>
      <c r="W925" s="71" t="n"/>
      <c r="X925" s="71" t="n"/>
    </row>
    <row r="926">
      <c r="A926" s="72" t="n"/>
      <c r="B926" s="72" t="n"/>
      <c r="C926" s="72" t="n"/>
      <c r="D926" s="72" t="n"/>
      <c r="E926" s="72" t="n"/>
      <c r="F926" s="73" t="n"/>
      <c r="G926" s="73" t="n"/>
      <c r="H926" s="72" t="n"/>
      <c r="I926" s="72" t="n"/>
      <c r="J926" s="72" t="n"/>
      <c r="K926" s="72" t="n"/>
      <c r="L926" s="72" t="n"/>
      <c r="M926" s="72" t="n"/>
      <c r="N926" s="72" t="n"/>
      <c r="O926" s="72" t="n"/>
      <c r="P926" s="72" t="n"/>
      <c r="Q926" s="72" t="n"/>
      <c r="R926" s="73" t="n"/>
      <c r="S926" s="73" t="n"/>
      <c r="T926" s="72" t="n"/>
      <c r="U926" s="72" t="n"/>
      <c r="V926" s="72" t="n"/>
      <c r="W926" s="72" t="n"/>
      <c r="X926" s="72" t="n"/>
    </row>
    <row r="927">
      <c r="A927" s="71" t="n"/>
      <c r="B927" s="71" t="n"/>
      <c r="C927" s="71" t="n"/>
      <c r="D927" s="71" t="n"/>
      <c r="E927" s="71" t="n"/>
      <c r="F927" s="46" t="n"/>
      <c r="G927" s="46" t="n"/>
      <c r="H927" s="71" t="n"/>
      <c r="I927" s="71" t="n"/>
      <c r="J927" s="71" t="n"/>
      <c r="K927" s="71" t="n"/>
      <c r="L927" s="71" t="n"/>
      <c r="M927" s="71" t="n"/>
      <c r="N927" s="71" t="n"/>
      <c r="O927" s="71" t="n"/>
      <c r="P927" s="71" t="n"/>
      <c r="Q927" s="71" t="n"/>
      <c r="R927" s="46" t="n"/>
      <c r="S927" s="46" t="n"/>
      <c r="T927" s="71" t="n"/>
      <c r="U927" s="71" t="n"/>
      <c r="V927" s="71" t="n"/>
      <c r="W927" s="71" t="n"/>
      <c r="X927" s="71" t="n"/>
    </row>
    <row r="928">
      <c r="A928" s="72" t="n"/>
      <c r="B928" s="72" t="n"/>
      <c r="C928" s="72" t="n"/>
      <c r="D928" s="72" t="n"/>
      <c r="E928" s="72" t="n"/>
      <c r="F928" s="73" t="n"/>
      <c r="G928" s="73" t="n"/>
      <c r="H928" s="72" t="n"/>
      <c r="I928" s="72" t="n"/>
      <c r="J928" s="72" t="n"/>
      <c r="K928" s="72" t="n"/>
      <c r="L928" s="72" t="n"/>
      <c r="M928" s="72" t="n"/>
      <c r="N928" s="72" t="n"/>
      <c r="O928" s="72" t="n"/>
      <c r="P928" s="72" t="n"/>
      <c r="Q928" s="72" t="n"/>
      <c r="R928" s="73" t="n"/>
      <c r="S928" s="73" t="n"/>
      <c r="T928" s="72" t="n"/>
      <c r="U928" s="72" t="n"/>
      <c r="V928" s="72" t="n"/>
      <c r="W928" s="72" t="n"/>
      <c r="X928" s="72" t="n"/>
    </row>
    <row r="929">
      <c r="A929" s="71" t="n"/>
      <c r="B929" s="71" t="n"/>
      <c r="C929" s="71" t="n"/>
      <c r="D929" s="71" t="n"/>
      <c r="E929" s="71" t="n"/>
      <c r="F929" s="46" t="n"/>
      <c r="G929" s="46" t="n"/>
      <c r="H929" s="71" t="n"/>
      <c r="I929" s="71" t="n"/>
      <c r="J929" s="71" t="n"/>
      <c r="K929" s="71" t="n"/>
      <c r="L929" s="71" t="n"/>
      <c r="M929" s="71" t="n"/>
      <c r="N929" s="71" t="n"/>
      <c r="O929" s="71" t="n"/>
      <c r="P929" s="71" t="n"/>
      <c r="Q929" s="71" t="n"/>
      <c r="R929" s="46" t="n"/>
      <c r="S929" s="46" t="n"/>
      <c r="T929" s="71" t="n"/>
      <c r="U929" s="71" t="n"/>
      <c r="V929" s="71" t="n"/>
      <c r="W929" s="71" t="n"/>
      <c r="X929" s="71" t="n"/>
    </row>
    <row r="930">
      <c r="A930" s="72" t="n"/>
      <c r="B930" s="72" t="n"/>
      <c r="C930" s="72" t="n"/>
      <c r="D930" s="72" t="n"/>
      <c r="E930" s="72" t="n"/>
      <c r="F930" s="73" t="n"/>
      <c r="G930" s="73" t="n"/>
      <c r="H930" s="72" t="n"/>
      <c r="I930" s="72" t="n"/>
      <c r="J930" s="72" t="n"/>
      <c r="K930" s="72" t="n"/>
      <c r="L930" s="72" t="n"/>
      <c r="M930" s="72" t="n"/>
      <c r="N930" s="72" t="n"/>
      <c r="O930" s="72" t="n"/>
      <c r="P930" s="72" t="n"/>
      <c r="Q930" s="72" t="n"/>
      <c r="R930" s="73" t="n"/>
      <c r="S930" s="73" t="n"/>
      <c r="T930" s="72" t="n"/>
      <c r="U930" s="72" t="n"/>
      <c r="V930" s="72" t="n"/>
      <c r="W930" s="72" t="n"/>
      <c r="X930" s="72" t="n"/>
    </row>
    <row r="931">
      <c r="A931" s="71" t="n"/>
      <c r="B931" s="71" t="n"/>
      <c r="C931" s="71" t="n"/>
      <c r="D931" s="71" t="n"/>
      <c r="E931" s="71" t="n"/>
      <c r="F931" s="46" t="n"/>
      <c r="G931" s="46" t="n"/>
      <c r="H931" s="71" t="n"/>
      <c r="I931" s="71" t="n"/>
      <c r="J931" s="71" t="n"/>
      <c r="K931" s="71" t="n"/>
      <c r="L931" s="71" t="n"/>
      <c r="M931" s="71" t="n"/>
      <c r="N931" s="71" t="n"/>
      <c r="O931" s="71" t="n"/>
      <c r="P931" s="71" t="n"/>
      <c r="Q931" s="71" t="n"/>
      <c r="R931" s="46" t="n"/>
      <c r="S931" s="46" t="n"/>
      <c r="T931" s="71" t="n"/>
      <c r="U931" s="71" t="n"/>
      <c r="V931" s="71" t="n"/>
      <c r="W931" s="71" t="n"/>
      <c r="X931" s="71" t="n"/>
    </row>
    <row r="932">
      <c r="A932" s="72" t="n"/>
      <c r="B932" s="72" t="n"/>
      <c r="C932" s="72" t="n"/>
      <c r="D932" s="72" t="n"/>
      <c r="E932" s="72" t="n"/>
      <c r="F932" s="73" t="n"/>
      <c r="G932" s="73" t="n"/>
      <c r="H932" s="72" t="n"/>
      <c r="I932" s="72" t="n"/>
      <c r="J932" s="72" t="n"/>
      <c r="K932" s="72" t="n"/>
      <c r="L932" s="72" t="n"/>
      <c r="M932" s="72" t="n"/>
      <c r="N932" s="72" t="n"/>
      <c r="O932" s="72" t="n"/>
      <c r="P932" s="72" t="n"/>
      <c r="Q932" s="72" t="n"/>
      <c r="R932" s="73" t="n"/>
      <c r="S932" s="73" t="n"/>
      <c r="T932" s="72" t="n"/>
      <c r="U932" s="72" t="n"/>
      <c r="V932" s="72" t="n"/>
      <c r="W932" s="72" t="n"/>
      <c r="X932" s="72" t="n"/>
    </row>
    <row r="933">
      <c r="A933" s="71" t="n"/>
      <c r="B933" s="71" t="n"/>
      <c r="C933" s="71" t="n"/>
      <c r="D933" s="71" t="n"/>
      <c r="E933" s="71" t="n"/>
      <c r="F933" s="46" t="n"/>
      <c r="G933" s="46" t="n"/>
      <c r="H933" s="71" t="n"/>
      <c r="I933" s="71" t="n"/>
      <c r="J933" s="71" t="n"/>
      <c r="K933" s="71" t="n"/>
      <c r="L933" s="71" t="n"/>
      <c r="M933" s="71" t="n"/>
      <c r="N933" s="71" t="n"/>
      <c r="O933" s="71" t="n"/>
      <c r="P933" s="71" t="n"/>
      <c r="Q933" s="71" t="n"/>
      <c r="R933" s="46" t="n"/>
      <c r="S933" s="46" t="n"/>
      <c r="T933" s="71" t="n"/>
      <c r="U933" s="71" t="n"/>
      <c r="V933" s="71" t="n"/>
      <c r="W933" s="71" t="n"/>
      <c r="X933" s="71" t="n"/>
    </row>
    <row r="934">
      <c r="A934" s="72" t="n"/>
      <c r="B934" s="72" t="n"/>
      <c r="C934" s="72" t="n"/>
      <c r="D934" s="72" t="n"/>
      <c r="E934" s="72" t="n"/>
      <c r="F934" s="73" t="n"/>
      <c r="G934" s="73" t="n"/>
      <c r="H934" s="72" t="n"/>
      <c r="I934" s="72" t="n"/>
      <c r="J934" s="72" t="n"/>
      <c r="K934" s="72" t="n"/>
      <c r="L934" s="72" t="n"/>
      <c r="M934" s="72" t="n"/>
      <c r="N934" s="72" t="n"/>
      <c r="O934" s="72" t="n"/>
      <c r="P934" s="72" t="n"/>
      <c r="Q934" s="72" t="n"/>
      <c r="R934" s="73" t="n"/>
      <c r="S934" s="73" t="n"/>
      <c r="T934" s="72" t="n"/>
      <c r="U934" s="72" t="n"/>
      <c r="V934" s="72" t="n"/>
      <c r="W934" s="72" t="n"/>
      <c r="X934" s="72" t="n"/>
    </row>
    <row r="935">
      <c r="A935" s="71" t="n"/>
      <c r="B935" s="71" t="n"/>
      <c r="C935" s="71" t="n"/>
      <c r="D935" s="71" t="n"/>
      <c r="E935" s="71" t="n"/>
      <c r="F935" s="46" t="n"/>
      <c r="G935" s="46" t="n"/>
      <c r="H935" s="71" t="n"/>
      <c r="I935" s="71" t="n"/>
      <c r="J935" s="71" t="n"/>
      <c r="K935" s="71" t="n"/>
      <c r="L935" s="71" t="n"/>
      <c r="M935" s="71" t="n"/>
      <c r="N935" s="71" t="n"/>
      <c r="O935" s="71" t="n"/>
      <c r="P935" s="71" t="n"/>
      <c r="Q935" s="71" t="n"/>
      <c r="R935" s="46" t="n"/>
      <c r="S935" s="46" t="n"/>
      <c r="T935" s="71" t="n"/>
      <c r="U935" s="71" t="n"/>
      <c r="V935" s="71" t="n"/>
      <c r="W935" s="71" t="n"/>
      <c r="X935" s="71" t="n"/>
    </row>
    <row r="936">
      <c r="A936" s="72" t="n"/>
      <c r="B936" s="72" t="n"/>
      <c r="C936" s="72" t="n"/>
      <c r="D936" s="72" t="n"/>
      <c r="E936" s="72" t="n"/>
      <c r="F936" s="73" t="n"/>
      <c r="G936" s="73" t="n"/>
      <c r="H936" s="72" t="n"/>
      <c r="I936" s="72" t="n"/>
      <c r="J936" s="72" t="n"/>
      <c r="K936" s="72" t="n"/>
      <c r="L936" s="72" t="n"/>
      <c r="M936" s="72" t="n"/>
      <c r="N936" s="72" t="n"/>
      <c r="O936" s="72" t="n"/>
      <c r="P936" s="72" t="n"/>
      <c r="Q936" s="72" t="n"/>
      <c r="R936" s="73" t="n"/>
      <c r="S936" s="73" t="n"/>
      <c r="T936" s="72" t="n"/>
      <c r="U936" s="72" t="n"/>
      <c r="V936" s="72" t="n"/>
      <c r="W936" s="72" t="n"/>
      <c r="X936" s="72" t="n"/>
    </row>
    <row r="937">
      <c r="A937" s="71" t="n"/>
      <c r="B937" s="71" t="n"/>
      <c r="C937" s="71" t="n"/>
      <c r="D937" s="71" t="n"/>
      <c r="E937" s="71" t="n"/>
      <c r="F937" s="46" t="n"/>
      <c r="G937" s="46" t="n"/>
      <c r="H937" s="71" t="n"/>
      <c r="I937" s="71" t="n"/>
      <c r="J937" s="71" t="n"/>
      <c r="K937" s="71" t="n"/>
      <c r="L937" s="71" t="n"/>
      <c r="M937" s="71" t="n"/>
      <c r="N937" s="71" t="n"/>
      <c r="O937" s="71" t="n"/>
      <c r="P937" s="71" t="n"/>
      <c r="Q937" s="71" t="n"/>
      <c r="R937" s="46" t="n"/>
      <c r="S937" s="46" t="n"/>
      <c r="T937" s="71" t="n"/>
      <c r="U937" s="71" t="n"/>
      <c r="V937" s="71" t="n"/>
      <c r="W937" s="71" t="n"/>
      <c r="X937" s="71" t="n"/>
    </row>
    <row r="938">
      <c r="A938" s="72" t="n"/>
      <c r="B938" s="72" t="n"/>
      <c r="C938" s="72" t="n"/>
      <c r="D938" s="72" t="n"/>
      <c r="E938" s="72" t="n"/>
      <c r="F938" s="73" t="n"/>
      <c r="G938" s="73" t="n"/>
      <c r="H938" s="72" t="n"/>
      <c r="I938" s="72" t="n"/>
      <c r="J938" s="72" t="n"/>
      <c r="K938" s="72" t="n"/>
      <c r="L938" s="72" t="n"/>
      <c r="M938" s="72" t="n"/>
      <c r="N938" s="72" t="n"/>
      <c r="O938" s="72" t="n"/>
      <c r="P938" s="72" t="n"/>
      <c r="Q938" s="72" t="n"/>
      <c r="R938" s="73" t="n"/>
      <c r="S938" s="73" t="n"/>
      <c r="T938" s="72" t="n"/>
      <c r="U938" s="72" t="n"/>
      <c r="V938" s="72" t="n"/>
      <c r="W938" s="72" t="n"/>
      <c r="X938" s="72" t="n"/>
    </row>
    <row r="939">
      <c r="A939" s="71" t="n"/>
      <c r="B939" s="71" t="n"/>
      <c r="C939" s="71" t="n"/>
      <c r="D939" s="71" t="n"/>
      <c r="E939" s="71" t="n"/>
      <c r="F939" s="46" t="n"/>
      <c r="G939" s="46" t="n"/>
      <c r="H939" s="71" t="n"/>
      <c r="I939" s="71" t="n"/>
      <c r="J939" s="71" t="n"/>
      <c r="K939" s="71" t="n"/>
      <c r="L939" s="71" t="n"/>
      <c r="M939" s="71" t="n"/>
      <c r="N939" s="71" t="n"/>
      <c r="O939" s="71" t="n"/>
      <c r="P939" s="71" t="n"/>
      <c r="Q939" s="71" t="n"/>
      <c r="R939" s="46" t="n"/>
      <c r="S939" s="46" t="n"/>
      <c r="T939" s="71" t="n"/>
      <c r="U939" s="71" t="n"/>
      <c r="V939" s="71" t="n"/>
      <c r="W939" s="71" t="n"/>
      <c r="X939" s="71" t="n"/>
    </row>
    <row r="940">
      <c r="A940" s="72" t="n"/>
      <c r="B940" s="72" t="n"/>
      <c r="C940" s="72" t="n"/>
      <c r="D940" s="72" t="n"/>
      <c r="E940" s="72" t="n"/>
      <c r="F940" s="73" t="n"/>
      <c r="G940" s="73" t="n"/>
      <c r="H940" s="72" t="n"/>
      <c r="I940" s="72" t="n"/>
      <c r="J940" s="72" t="n"/>
      <c r="K940" s="72" t="n"/>
      <c r="L940" s="72" t="n"/>
      <c r="M940" s="72" t="n"/>
      <c r="N940" s="72" t="n"/>
      <c r="O940" s="72" t="n"/>
      <c r="P940" s="72" t="n"/>
      <c r="Q940" s="72" t="n"/>
      <c r="R940" s="73" t="n"/>
      <c r="S940" s="73" t="n"/>
      <c r="T940" s="72" t="n"/>
      <c r="U940" s="72" t="n"/>
      <c r="V940" s="72" t="n"/>
      <c r="W940" s="72" t="n"/>
      <c r="X940" s="72" t="n"/>
    </row>
    <row r="941">
      <c r="A941" s="71" t="n"/>
      <c r="B941" s="71" t="n"/>
      <c r="C941" s="71" t="n"/>
      <c r="D941" s="71" t="n"/>
      <c r="E941" s="71" t="n"/>
      <c r="F941" s="46" t="n"/>
      <c r="G941" s="46" t="n"/>
      <c r="H941" s="71" t="n"/>
      <c r="I941" s="71" t="n"/>
      <c r="J941" s="71" t="n"/>
      <c r="K941" s="71" t="n"/>
      <c r="L941" s="71" t="n"/>
      <c r="M941" s="71" t="n"/>
      <c r="N941" s="71" t="n"/>
      <c r="O941" s="71" t="n"/>
      <c r="P941" s="71" t="n"/>
      <c r="Q941" s="71" t="n"/>
      <c r="R941" s="46" t="n"/>
      <c r="S941" s="46" t="n"/>
      <c r="T941" s="71" t="n"/>
      <c r="U941" s="71" t="n"/>
      <c r="V941" s="71" t="n"/>
      <c r="W941" s="71" t="n"/>
      <c r="X941" s="71" t="n"/>
    </row>
    <row r="942">
      <c r="A942" s="72" t="n"/>
      <c r="B942" s="72" t="n"/>
      <c r="C942" s="72" t="n"/>
      <c r="D942" s="72" t="n"/>
      <c r="E942" s="72" t="n"/>
      <c r="F942" s="73" t="n"/>
      <c r="G942" s="73" t="n"/>
      <c r="H942" s="72" t="n"/>
      <c r="I942" s="72" t="n"/>
      <c r="J942" s="72" t="n"/>
      <c r="K942" s="72" t="n"/>
      <c r="L942" s="72" t="n"/>
      <c r="M942" s="72" t="n"/>
      <c r="N942" s="72" t="n"/>
      <c r="O942" s="72" t="n"/>
      <c r="P942" s="72" t="n"/>
      <c r="Q942" s="72" t="n"/>
      <c r="R942" s="73" t="n"/>
      <c r="S942" s="73" t="n"/>
      <c r="T942" s="72" t="n"/>
      <c r="U942" s="72" t="n"/>
      <c r="V942" s="72" t="n"/>
      <c r="W942" s="72" t="n"/>
      <c r="X942" s="72" t="n"/>
    </row>
    <row r="943">
      <c r="A943" s="71" t="n"/>
      <c r="B943" s="71" t="n"/>
      <c r="C943" s="71" t="n"/>
      <c r="D943" s="71" t="n"/>
      <c r="E943" s="71" t="n"/>
      <c r="F943" s="46" t="n"/>
      <c r="G943" s="46" t="n"/>
      <c r="H943" s="71" t="n"/>
      <c r="I943" s="71" t="n"/>
      <c r="J943" s="71" t="n"/>
      <c r="K943" s="71" t="n"/>
      <c r="L943" s="71" t="n"/>
      <c r="M943" s="71" t="n"/>
      <c r="N943" s="71" t="n"/>
      <c r="O943" s="71" t="n"/>
      <c r="P943" s="71" t="n"/>
      <c r="Q943" s="71" t="n"/>
      <c r="R943" s="46" t="n"/>
      <c r="S943" s="46" t="n"/>
      <c r="T943" s="71" t="n"/>
      <c r="U943" s="71" t="n"/>
      <c r="V943" s="71" t="n"/>
      <c r="W943" s="71" t="n"/>
      <c r="X943" s="71" t="n"/>
    </row>
    <row r="944">
      <c r="A944" s="72" t="n"/>
      <c r="B944" s="72" t="n"/>
      <c r="C944" s="72" t="n"/>
      <c r="D944" s="72" t="n"/>
      <c r="E944" s="72" t="n"/>
      <c r="F944" s="73" t="n"/>
      <c r="G944" s="73" t="n"/>
      <c r="H944" s="72" t="n"/>
      <c r="I944" s="72" t="n"/>
      <c r="J944" s="72" t="n"/>
      <c r="K944" s="72" t="n"/>
      <c r="L944" s="72" t="n"/>
      <c r="M944" s="72" t="n"/>
      <c r="N944" s="72" t="n"/>
      <c r="O944" s="72" t="n"/>
      <c r="P944" s="72" t="n"/>
      <c r="Q944" s="72" t="n"/>
      <c r="R944" s="73" t="n"/>
      <c r="S944" s="73" t="n"/>
      <c r="T944" s="72" t="n"/>
      <c r="U944" s="72" t="n"/>
      <c r="V944" s="72" t="n"/>
      <c r="W944" s="72" t="n"/>
      <c r="X944" s="72" t="n"/>
    </row>
    <row r="945">
      <c r="A945" s="71" t="n"/>
      <c r="B945" s="71" t="n"/>
      <c r="C945" s="71" t="n"/>
      <c r="D945" s="71" t="n"/>
      <c r="E945" s="71" t="n"/>
      <c r="F945" s="46" t="n"/>
      <c r="G945" s="46" t="n"/>
      <c r="H945" s="71" t="n"/>
      <c r="I945" s="71" t="n"/>
      <c r="J945" s="71" t="n"/>
      <c r="K945" s="71" t="n"/>
      <c r="L945" s="71" t="n"/>
      <c r="M945" s="71" t="n"/>
      <c r="N945" s="71" t="n"/>
      <c r="O945" s="71" t="n"/>
      <c r="P945" s="71" t="n"/>
      <c r="Q945" s="71" t="n"/>
      <c r="R945" s="46" t="n"/>
      <c r="S945" s="46" t="n"/>
      <c r="T945" s="71" t="n"/>
      <c r="U945" s="71" t="n"/>
      <c r="V945" s="71" t="n"/>
      <c r="W945" s="71" t="n"/>
      <c r="X945" s="71" t="n"/>
    </row>
    <row r="946">
      <c r="A946" s="72" t="n"/>
      <c r="B946" s="72" t="n"/>
      <c r="C946" s="72" t="n"/>
      <c r="D946" s="72" t="n"/>
      <c r="E946" s="72" t="n"/>
      <c r="F946" s="73" t="n"/>
      <c r="G946" s="73" t="n"/>
      <c r="H946" s="72" t="n"/>
      <c r="I946" s="72" t="n"/>
      <c r="J946" s="72" t="n"/>
      <c r="K946" s="72" t="n"/>
      <c r="L946" s="72" t="n"/>
      <c r="M946" s="72" t="n"/>
      <c r="N946" s="72" t="n"/>
      <c r="O946" s="72" t="n"/>
      <c r="P946" s="72" t="n"/>
      <c r="Q946" s="72" t="n"/>
      <c r="R946" s="73" t="n"/>
      <c r="S946" s="73" t="n"/>
      <c r="T946" s="72" t="n"/>
      <c r="U946" s="72" t="n"/>
      <c r="V946" s="72" t="n"/>
      <c r="W946" s="72" t="n"/>
      <c r="X946" s="72" t="n"/>
    </row>
    <row r="947">
      <c r="A947" s="71" t="n"/>
      <c r="B947" s="71" t="n"/>
      <c r="C947" s="71" t="n"/>
      <c r="D947" s="71" t="n"/>
      <c r="E947" s="71" t="n"/>
      <c r="F947" s="46" t="n"/>
      <c r="G947" s="46" t="n"/>
      <c r="H947" s="71" t="n"/>
      <c r="I947" s="71" t="n"/>
      <c r="J947" s="71" t="n"/>
      <c r="K947" s="71" t="n"/>
      <c r="L947" s="71" t="n"/>
      <c r="M947" s="71" t="n"/>
      <c r="N947" s="71" t="n"/>
      <c r="O947" s="71" t="n"/>
      <c r="P947" s="71" t="n"/>
      <c r="Q947" s="71" t="n"/>
      <c r="R947" s="46" t="n"/>
      <c r="S947" s="46" t="n"/>
      <c r="T947" s="71" t="n"/>
      <c r="U947" s="71" t="n"/>
      <c r="V947" s="71" t="n"/>
      <c r="W947" s="71" t="n"/>
      <c r="X947" s="71" t="n"/>
    </row>
    <row r="948">
      <c r="A948" s="72" t="n"/>
      <c r="B948" s="72" t="n"/>
      <c r="C948" s="72" t="n"/>
      <c r="D948" s="72" t="n"/>
      <c r="E948" s="72" t="n"/>
      <c r="F948" s="73" t="n"/>
      <c r="G948" s="73" t="n"/>
      <c r="H948" s="72" t="n"/>
      <c r="I948" s="72" t="n"/>
      <c r="J948" s="72" t="n"/>
      <c r="K948" s="72" t="n"/>
      <c r="L948" s="72" t="n"/>
      <c r="M948" s="72" t="n"/>
      <c r="N948" s="72" t="n"/>
      <c r="O948" s="72" t="n"/>
      <c r="P948" s="72" t="n"/>
      <c r="Q948" s="72" t="n"/>
      <c r="R948" s="73" t="n"/>
      <c r="S948" s="73" t="n"/>
      <c r="T948" s="72" t="n"/>
      <c r="U948" s="72" t="n"/>
      <c r="V948" s="72" t="n"/>
      <c r="W948" s="72" t="n"/>
      <c r="X948" s="72" t="n"/>
    </row>
    <row r="949">
      <c r="A949" s="71" t="n"/>
      <c r="B949" s="71" t="n"/>
      <c r="C949" s="71" t="n"/>
      <c r="D949" s="71" t="n"/>
      <c r="E949" s="71" t="n"/>
      <c r="F949" s="46" t="n"/>
      <c r="G949" s="46" t="n"/>
      <c r="H949" s="71" t="n"/>
      <c r="I949" s="71" t="n"/>
      <c r="J949" s="71" t="n"/>
      <c r="K949" s="71" t="n"/>
      <c r="L949" s="71" t="n"/>
      <c r="M949" s="71" t="n"/>
      <c r="N949" s="71" t="n"/>
      <c r="O949" s="71" t="n"/>
      <c r="P949" s="71" t="n"/>
      <c r="Q949" s="71" t="n"/>
      <c r="R949" s="46" t="n"/>
      <c r="S949" s="46" t="n"/>
      <c r="T949" s="71" t="n"/>
      <c r="U949" s="71" t="n"/>
      <c r="V949" s="71" t="n"/>
      <c r="W949" s="71" t="n"/>
      <c r="X949" s="71" t="n"/>
    </row>
    <row r="950">
      <c r="A950" s="72" t="n"/>
      <c r="B950" s="72" t="n"/>
      <c r="C950" s="72" t="n"/>
      <c r="D950" s="72" t="n"/>
      <c r="E950" s="72" t="n"/>
      <c r="F950" s="73" t="n"/>
      <c r="G950" s="73" t="n"/>
      <c r="H950" s="72" t="n"/>
      <c r="I950" s="72" t="n"/>
      <c r="J950" s="72" t="n"/>
      <c r="K950" s="72" t="n"/>
      <c r="L950" s="72" t="n"/>
      <c r="M950" s="72" t="n"/>
      <c r="N950" s="72" t="n"/>
      <c r="O950" s="72" t="n"/>
      <c r="P950" s="72" t="n"/>
      <c r="Q950" s="72" t="n"/>
      <c r="R950" s="73" t="n"/>
      <c r="S950" s="73" t="n"/>
      <c r="T950" s="72" t="n"/>
      <c r="U950" s="72" t="n"/>
      <c r="V950" s="72" t="n"/>
      <c r="W950" s="72" t="n"/>
      <c r="X950" s="72" t="n"/>
    </row>
    <row r="951">
      <c r="A951" s="71" t="n"/>
      <c r="B951" s="71" t="n"/>
      <c r="C951" s="71" t="n"/>
      <c r="D951" s="71" t="n"/>
      <c r="E951" s="71" t="n"/>
      <c r="F951" s="46" t="n"/>
      <c r="G951" s="46" t="n"/>
      <c r="H951" s="71" t="n"/>
      <c r="I951" s="71" t="n"/>
      <c r="J951" s="71" t="n"/>
      <c r="K951" s="71" t="n"/>
      <c r="L951" s="71" t="n"/>
      <c r="M951" s="71" t="n"/>
      <c r="N951" s="71" t="n"/>
      <c r="O951" s="71" t="n"/>
      <c r="P951" s="71" t="n"/>
      <c r="Q951" s="71" t="n"/>
      <c r="R951" s="46" t="n"/>
      <c r="S951" s="46" t="n"/>
      <c r="T951" s="71" t="n"/>
      <c r="U951" s="71" t="n"/>
      <c r="V951" s="71" t="n"/>
      <c r="W951" s="71" t="n"/>
      <c r="X951" s="71" t="n"/>
    </row>
    <row r="952">
      <c r="A952" s="72" t="n"/>
      <c r="B952" s="72" t="n"/>
      <c r="C952" s="72" t="n"/>
      <c r="D952" s="72" t="n"/>
      <c r="E952" s="72" t="n"/>
      <c r="F952" s="73" t="n"/>
      <c r="G952" s="73" t="n"/>
      <c r="H952" s="72" t="n"/>
      <c r="I952" s="72" t="n"/>
      <c r="J952" s="72" t="n"/>
      <c r="K952" s="72" t="n"/>
      <c r="L952" s="72" t="n"/>
      <c r="M952" s="72" t="n"/>
      <c r="N952" s="72" t="n"/>
      <c r="O952" s="72" t="n"/>
      <c r="P952" s="72" t="n"/>
      <c r="Q952" s="72" t="n"/>
      <c r="R952" s="73" t="n"/>
      <c r="S952" s="73" t="n"/>
      <c r="T952" s="72" t="n"/>
      <c r="U952" s="72" t="n"/>
      <c r="V952" s="72" t="n"/>
      <c r="W952" s="72" t="n"/>
      <c r="X952" s="72" t="n"/>
    </row>
    <row r="953">
      <c r="A953" s="71" t="n"/>
      <c r="B953" s="71" t="n"/>
      <c r="C953" s="71" t="n"/>
      <c r="D953" s="71" t="n"/>
      <c r="E953" s="71" t="n"/>
      <c r="F953" s="46" t="n"/>
      <c r="G953" s="46" t="n"/>
      <c r="H953" s="71" t="n"/>
      <c r="I953" s="71" t="n"/>
      <c r="J953" s="71" t="n"/>
      <c r="K953" s="71" t="n"/>
      <c r="L953" s="71" t="n"/>
      <c r="M953" s="71" t="n"/>
      <c r="N953" s="71" t="n"/>
      <c r="O953" s="71" t="n"/>
      <c r="P953" s="71" t="n"/>
      <c r="Q953" s="71" t="n"/>
      <c r="R953" s="46" t="n"/>
      <c r="S953" s="46" t="n"/>
      <c r="T953" s="71" t="n"/>
      <c r="U953" s="71" t="n"/>
      <c r="V953" s="71" t="n"/>
      <c r="W953" s="71" t="n"/>
      <c r="X953" s="71" t="n"/>
    </row>
    <row r="954">
      <c r="A954" s="72" t="n"/>
      <c r="B954" s="72" t="n"/>
      <c r="C954" s="72" t="n"/>
      <c r="D954" s="72" t="n"/>
      <c r="E954" s="72" t="n"/>
      <c r="F954" s="73" t="n"/>
      <c r="G954" s="73" t="n"/>
      <c r="H954" s="72" t="n"/>
      <c r="I954" s="72" t="n"/>
      <c r="J954" s="72" t="n"/>
      <c r="K954" s="72" t="n"/>
      <c r="L954" s="72" t="n"/>
      <c r="M954" s="72" t="n"/>
      <c r="N954" s="72" t="n"/>
      <c r="O954" s="72" t="n"/>
      <c r="P954" s="72" t="n"/>
      <c r="Q954" s="72" t="n"/>
      <c r="R954" s="73" t="n"/>
      <c r="S954" s="73" t="n"/>
      <c r="T954" s="72" t="n"/>
      <c r="U954" s="72" t="n"/>
      <c r="V954" s="72" t="n"/>
      <c r="W954" s="72" t="n"/>
      <c r="X954" s="72" t="n"/>
    </row>
    <row r="955">
      <c r="A955" s="71" t="n"/>
      <c r="B955" s="71" t="n"/>
      <c r="C955" s="71" t="n"/>
      <c r="D955" s="71" t="n"/>
      <c r="E955" s="71" t="n"/>
      <c r="F955" s="46" t="n"/>
      <c r="G955" s="46" t="n"/>
      <c r="H955" s="71" t="n"/>
      <c r="I955" s="71" t="n"/>
      <c r="J955" s="71" t="n"/>
      <c r="K955" s="71" t="n"/>
      <c r="L955" s="71" t="n"/>
      <c r="M955" s="71" t="n"/>
      <c r="N955" s="71" t="n"/>
      <c r="O955" s="71" t="n"/>
      <c r="P955" s="71" t="n"/>
      <c r="Q955" s="71" t="n"/>
      <c r="R955" s="46" t="n"/>
      <c r="S955" s="46" t="n"/>
      <c r="T955" s="71" t="n"/>
      <c r="U955" s="71" t="n"/>
      <c r="V955" s="71" t="n"/>
      <c r="W955" s="71" t="n"/>
      <c r="X955" s="71" t="n"/>
    </row>
    <row r="956">
      <c r="A956" s="72" t="n"/>
      <c r="B956" s="72" t="n"/>
      <c r="C956" s="72" t="n"/>
      <c r="D956" s="72" t="n"/>
      <c r="E956" s="72" t="n"/>
      <c r="F956" s="73" t="n"/>
      <c r="G956" s="73" t="n"/>
      <c r="H956" s="72" t="n"/>
      <c r="I956" s="72" t="n"/>
      <c r="J956" s="72" t="n"/>
      <c r="K956" s="72" t="n"/>
      <c r="L956" s="72" t="n"/>
      <c r="M956" s="72" t="n"/>
      <c r="N956" s="72" t="n"/>
      <c r="O956" s="72" t="n"/>
      <c r="P956" s="72" t="n"/>
      <c r="Q956" s="72" t="n"/>
      <c r="R956" s="73" t="n"/>
      <c r="S956" s="73" t="n"/>
      <c r="T956" s="72" t="n"/>
      <c r="U956" s="72" t="n"/>
      <c r="V956" s="72" t="n"/>
      <c r="W956" s="72" t="n"/>
      <c r="X956" s="72" t="n"/>
    </row>
    <row r="957">
      <c r="A957" s="71" t="n"/>
      <c r="B957" s="71" t="n"/>
      <c r="C957" s="71" t="n"/>
      <c r="D957" s="71" t="n"/>
      <c r="E957" s="71" t="n"/>
      <c r="F957" s="46" t="n"/>
      <c r="G957" s="46" t="n"/>
      <c r="H957" s="71" t="n"/>
      <c r="I957" s="71" t="n"/>
      <c r="J957" s="71" t="n"/>
      <c r="K957" s="71" t="n"/>
      <c r="L957" s="71" t="n"/>
      <c r="M957" s="71" t="n"/>
      <c r="N957" s="71" t="n"/>
      <c r="O957" s="71" t="n"/>
      <c r="P957" s="71" t="n"/>
      <c r="Q957" s="71" t="n"/>
      <c r="R957" s="46" t="n"/>
      <c r="S957" s="46" t="n"/>
      <c r="T957" s="71" t="n"/>
      <c r="U957" s="71" t="n"/>
      <c r="V957" s="71" t="n"/>
      <c r="W957" s="71" t="n"/>
      <c r="X957" s="71" t="n"/>
    </row>
    <row r="958">
      <c r="A958" s="72" t="n"/>
      <c r="B958" s="72" t="n"/>
      <c r="C958" s="72" t="n"/>
      <c r="D958" s="72" t="n"/>
      <c r="E958" s="72" t="n"/>
      <c r="F958" s="73" t="n"/>
      <c r="G958" s="73" t="n"/>
      <c r="H958" s="72" t="n"/>
      <c r="I958" s="72" t="n"/>
      <c r="J958" s="72" t="n"/>
      <c r="K958" s="72" t="n"/>
      <c r="L958" s="72" t="n"/>
      <c r="M958" s="72" t="n"/>
      <c r="N958" s="72" t="n"/>
      <c r="O958" s="72" t="n"/>
      <c r="P958" s="72" t="n"/>
      <c r="Q958" s="72" t="n"/>
      <c r="R958" s="73" t="n"/>
      <c r="S958" s="73" t="n"/>
      <c r="T958" s="72" t="n"/>
      <c r="U958" s="72" t="n"/>
      <c r="V958" s="72" t="n"/>
      <c r="W958" s="72" t="n"/>
      <c r="X958" s="72" t="n"/>
    </row>
    <row r="959">
      <c r="A959" s="71" t="n"/>
      <c r="B959" s="71" t="n"/>
      <c r="C959" s="71" t="n"/>
      <c r="D959" s="71" t="n"/>
      <c r="E959" s="71" t="n"/>
      <c r="F959" s="46" t="n"/>
      <c r="G959" s="46" t="n"/>
      <c r="H959" s="71" t="n"/>
      <c r="I959" s="71" t="n"/>
      <c r="J959" s="71" t="n"/>
      <c r="K959" s="71" t="n"/>
      <c r="L959" s="71" t="n"/>
      <c r="M959" s="71" t="n"/>
      <c r="N959" s="71" t="n"/>
      <c r="O959" s="71" t="n"/>
      <c r="P959" s="71" t="n"/>
      <c r="Q959" s="71" t="n"/>
      <c r="R959" s="46" t="n"/>
      <c r="S959" s="46" t="n"/>
      <c r="T959" s="71" t="n"/>
      <c r="U959" s="71" t="n"/>
      <c r="V959" s="71" t="n"/>
      <c r="W959" s="71" t="n"/>
      <c r="X959" s="71" t="n"/>
    </row>
    <row r="960">
      <c r="A960" s="72" t="n"/>
      <c r="B960" s="72" t="n"/>
      <c r="C960" s="72" t="n"/>
      <c r="D960" s="72" t="n"/>
      <c r="E960" s="72" t="n"/>
      <c r="F960" s="73" t="n"/>
      <c r="G960" s="73" t="n"/>
      <c r="H960" s="72" t="n"/>
      <c r="I960" s="72" t="n"/>
      <c r="J960" s="72" t="n"/>
      <c r="K960" s="72" t="n"/>
      <c r="L960" s="72" t="n"/>
      <c r="M960" s="72" t="n"/>
      <c r="N960" s="72" t="n"/>
      <c r="O960" s="72" t="n"/>
      <c r="P960" s="72" t="n"/>
      <c r="Q960" s="72" t="n"/>
      <c r="R960" s="73" t="n"/>
      <c r="S960" s="73" t="n"/>
      <c r="T960" s="72" t="n"/>
      <c r="U960" s="72" t="n"/>
      <c r="V960" s="72" t="n"/>
      <c r="W960" s="72" t="n"/>
      <c r="X960" s="72" t="n"/>
    </row>
    <row r="961">
      <c r="A961" s="71" t="n"/>
      <c r="B961" s="71" t="n"/>
      <c r="C961" s="71" t="n"/>
      <c r="D961" s="71" t="n"/>
      <c r="E961" s="71" t="n"/>
      <c r="F961" s="46" t="n"/>
      <c r="G961" s="46" t="n"/>
      <c r="H961" s="71" t="n"/>
      <c r="I961" s="71" t="n"/>
      <c r="J961" s="71" t="n"/>
      <c r="K961" s="71" t="n"/>
      <c r="L961" s="71" t="n"/>
      <c r="M961" s="71" t="n"/>
      <c r="N961" s="71" t="n"/>
      <c r="O961" s="71" t="n"/>
      <c r="P961" s="71" t="n"/>
      <c r="Q961" s="71" t="n"/>
      <c r="R961" s="46" t="n"/>
      <c r="S961" s="46" t="n"/>
      <c r="T961" s="71" t="n"/>
      <c r="U961" s="71" t="n"/>
      <c r="V961" s="71" t="n"/>
      <c r="W961" s="71" t="n"/>
      <c r="X961" s="71" t="n"/>
    </row>
    <row r="962">
      <c r="A962" s="72" t="n"/>
      <c r="B962" s="72" t="n"/>
      <c r="C962" s="72" t="n"/>
      <c r="D962" s="72" t="n"/>
      <c r="E962" s="72" t="n"/>
      <c r="F962" s="73" t="n"/>
      <c r="G962" s="73" t="n"/>
      <c r="H962" s="72" t="n"/>
      <c r="I962" s="72" t="n"/>
      <c r="J962" s="72" t="n"/>
      <c r="K962" s="72" t="n"/>
      <c r="L962" s="72" t="n"/>
      <c r="M962" s="72" t="n"/>
      <c r="N962" s="72" t="n"/>
      <c r="O962" s="72" t="n"/>
      <c r="P962" s="72" t="n"/>
      <c r="Q962" s="72" t="n"/>
      <c r="R962" s="73" t="n"/>
      <c r="S962" s="73" t="n"/>
      <c r="T962" s="72" t="n"/>
      <c r="U962" s="72" t="n"/>
      <c r="V962" s="72" t="n"/>
      <c r="W962" s="72" t="n"/>
      <c r="X962" s="72" t="n"/>
    </row>
    <row r="963">
      <c r="A963" s="71" t="n"/>
      <c r="B963" s="71" t="n"/>
      <c r="C963" s="71" t="n"/>
      <c r="D963" s="71" t="n"/>
      <c r="E963" s="71" t="n"/>
      <c r="F963" s="46" t="n"/>
      <c r="G963" s="46" t="n"/>
      <c r="H963" s="71" t="n"/>
      <c r="I963" s="71" t="n"/>
      <c r="J963" s="71" t="n"/>
      <c r="K963" s="71" t="n"/>
      <c r="L963" s="71" t="n"/>
      <c r="M963" s="71" t="n"/>
      <c r="N963" s="71" t="n"/>
      <c r="O963" s="71" t="n"/>
      <c r="P963" s="71" t="n"/>
      <c r="Q963" s="71" t="n"/>
      <c r="R963" s="46" t="n"/>
      <c r="S963" s="46" t="n"/>
      <c r="T963" s="71" t="n"/>
      <c r="U963" s="71" t="n"/>
      <c r="V963" s="71" t="n"/>
      <c r="W963" s="71" t="n"/>
      <c r="X963" s="71" t="n"/>
    </row>
    <row r="964">
      <c r="A964" s="72" t="n"/>
      <c r="B964" s="72" t="n"/>
      <c r="C964" s="72" t="n"/>
      <c r="D964" s="72" t="n"/>
      <c r="E964" s="72" t="n"/>
      <c r="F964" s="73" t="n"/>
      <c r="G964" s="73" t="n"/>
      <c r="H964" s="72" t="n"/>
      <c r="I964" s="72" t="n"/>
      <c r="J964" s="72" t="n"/>
      <c r="K964" s="72" t="n"/>
      <c r="L964" s="72" t="n"/>
      <c r="M964" s="72" t="n"/>
      <c r="N964" s="72" t="n"/>
      <c r="O964" s="72" t="n"/>
      <c r="P964" s="72" t="n"/>
      <c r="Q964" s="72" t="n"/>
      <c r="R964" s="73" t="n"/>
      <c r="S964" s="73" t="n"/>
      <c r="T964" s="72" t="n"/>
      <c r="U964" s="72" t="n"/>
      <c r="V964" s="72" t="n"/>
      <c r="W964" s="72" t="n"/>
      <c r="X964" s="72" t="n"/>
    </row>
    <row r="965">
      <c r="A965" s="71" t="n"/>
      <c r="B965" s="71" t="n"/>
      <c r="C965" s="71" t="n"/>
      <c r="D965" s="71" t="n"/>
      <c r="E965" s="71" t="n"/>
      <c r="F965" s="46" t="n"/>
      <c r="G965" s="46" t="n"/>
      <c r="H965" s="71" t="n"/>
      <c r="I965" s="71" t="n"/>
      <c r="J965" s="71" t="n"/>
      <c r="K965" s="71" t="n"/>
      <c r="L965" s="71" t="n"/>
      <c r="M965" s="71" t="n"/>
      <c r="N965" s="71" t="n"/>
      <c r="O965" s="71" t="n"/>
      <c r="P965" s="71" t="n"/>
      <c r="Q965" s="71" t="n"/>
      <c r="R965" s="46" t="n"/>
      <c r="S965" s="46" t="n"/>
      <c r="T965" s="71" t="n"/>
      <c r="U965" s="71" t="n"/>
      <c r="V965" s="71" t="n"/>
      <c r="W965" s="71" t="n"/>
      <c r="X965" s="71" t="n"/>
    </row>
    <row r="966">
      <c r="A966" s="72" t="n"/>
      <c r="B966" s="72" t="n"/>
      <c r="C966" s="72" t="n"/>
      <c r="D966" s="72" t="n"/>
      <c r="E966" s="72" t="n"/>
      <c r="F966" s="73" t="n"/>
      <c r="G966" s="73" t="n"/>
      <c r="H966" s="72" t="n"/>
      <c r="I966" s="72" t="n"/>
      <c r="J966" s="72" t="n"/>
      <c r="K966" s="72" t="n"/>
      <c r="L966" s="72" t="n"/>
      <c r="M966" s="72" t="n"/>
      <c r="N966" s="72" t="n"/>
      <c r="O966" s="72" t="n"/>
      <c r="P966" s="72" t="n"/>
      <c r="Q966" s="72" t="n"/>
      <c r="R966" s="73" t="n"/>
      <c r="S966" s="73" t="n"/>
      <c r="T966" s="72" t="n"/>
      <c r="U966" s="72" t="n"/>
      <c r="V966" s="72" t="n"/>
      <c r="W966" s="72" t="n"/>
      <c r="X966" s="72" t="n"/>
    </row>
    <row r="967">
      <c r="A967" s="71" t="n"/>
      <c r="B967" s="71" t="n"/>
      <c r="C967" s="71" t="n"/>
      <c r="D967" s="71" t="n"/>
      <c r="E967" s="71" t="n"/>
      <c r="F967" s="46" t="n"/>
      <c r="G967" s="46" t="n"/>
      <c r="H967" s="71" t="n"/>
      <c r="I967" s="71" t="n"/>
      <c r="J967" s="71" t="n"/>
      <c r="K967" s="71" t="n"/>
      <c r="L967" s="71" t="n"/>
      <c r="M967" s="71" t="n"/>
      <c r="N967" s="71" t="n"/>
      <c r="O967" s="71" t="n"/>
      <c r="P967" s="71" t="n"/>
      <c r="Q967" s="71" t="n"/>
      <c r="R967" s="46" t="n"/>
      <c r="S967" s="46" t="n"/>
      <c r="T967" s="71" t="n"/>
      <c r="U967" s="71" t="n"/>
      <c r="V967" s="71" t="n"/>
      <c r="W967" s="71" t="n"/>
      <c r="X967" s="71" t="n"/>
    </row>
    <row r="968">
      <c r="A968" s="72" t="n"/>
      <c r="B968" s="72" t="n"/>
      <c r="C968" s="72" t="n"/>
      <c r="D968" s="72" t="n"/>
      <c r="E968" s="72" t="n"/>
      <c r="F968" s="73" t="n"/>
      <c r="G968" s="73" t="n"/>
      <c r="H968" s="72" t="n"/>
      <c r="I968" s="72" t="n"/>
      <c r="J968" s="72" t="n"/>
      <c r="K968" s="72" t="n"/>
      <c r="L968" s="72" t="n"/>
      <c r="M968" s="72" t="n"/>
      <c r="N968" s="72" t="n"/>
      <c r="O968" s="72" t="n"/>
      <c r="P968" s="72" t="n"/>
      <c r="Q968" s="72" t="n"/>
      <c r="R968" s="73" t="n"/>
      <c r="S968" s="73" t="n"/>
      <c r="T968" s="72" t="n"/>
      <c r="U968" s="72" t="n"/>
      <c r="V968" s="72" t="n"/>
      <c r="W968" s="72" t="n"/>
      <c r="X968" s="72" t="n"/>
    </row>
    <row r="969">
      <c r="A969" s="71" t="n"/>
      <c r="B969" s="71" t="n"/>
      <c r="C969" s="71" t="n"/>
      <c r="D969" s="71" t="n"/>
      <c r="E969" s="71" t="n"/>
      <c r="F969" s="46" t="n"/>
      <c r="G969" s="46" t="n"/>
      <c r="H969" s="71" t="n"/>
      <c r="I969" s="71" t="n"/>
      <c r="J969" s="71" t="n"/>
      <c r="K969" s="71" t="n"/>
      <c r="L969" s="71" t="n"/>
      <c r="M969" s="71" t="n"/>
      <c r="N969" s="71" t="n"/>
      <c r="O969" s="71" t="n"/>
      <c r="P969" s="71" t="n"/>
      <c r="Q969" s="71" t="n"/>
      <c r="R969" s="46" t="n"/>
      <c r="S969" s="46" t="n"/>
      <c r="T969" s="71" t="n"/>
      <c r="U969" s="71" t="n"/>
      <c r="V969" s="71" t="n"/>
      <c r="W969" s="71" t="n"/>
      <c r="X969" s="71" t="n"/>
    </row>
    <row r="970">
      <c r="A970" s="72" t="n"/>
      <c r="B970" s="72" t="n"/>
      <c r="C970" s="72" t="n"/>
      <c r="D970" s="72" t="n"/>
      <c r="E970" s="72" t="n"/>
      <c r="F970" s="73" t="n"/>
      <c r="G970" s="73" t="n"/>
      <c r="H970" s="72" t="n"/>
      <c r="I970" s="72" t="n"/>
      <c r="J970" s="72" t="n"/>
      <c r="K970" s="72" t="n"/>
      <c r="L970" s="72" t="n"/>
      <c r="M970" s="72" t="n"/>
      <c r="N970" s="72" t="n"/>
      <c r="O970" s="72" t="n"/>
      <c r="P970" s="72" t="n"/>
      <c r="Q970" s="72" t="n"/>
      <c r="R970" s="73" t="n"/>
      <c r="S970" s="73" t="n"/>
      <c r="T970" s="72" t="n"/>
      <c r="U970" s="72" t="n"/>
      <c r="V970" s="72" t="n"/>
      <c r="W970" s="72" t="n"/>
      <c r="X970" s="72" t="n"/>
    </row>
    <row r="971">
      <c r="A971" s="71" t="n"/>
      <c r="B971" s="71" t="n"/>
      <c r="C971" s="71" t="n"/>
      <c r="D971" s="71" t="n"/>
      <c r="E971" s="71" t="n"/>
      <c r="F971" s="46" t="n"/>
      <c r="G971" s="46" t="n"/>
      <c r="H971" s="71" t="n"/>
      <c r="I971" s="71" t="n"/>
      <c r="J971" s="71" t="n"/>
      <c r="K971" s="71" t="n"/>
      <c r="L971" s="71" t="n"/>
      <c r="M971" s="71" t="n"/>
      <c r="N971" s="71" t="n"/>
      <c r="O971" s="71" t="n"/>
      <c r="P971" s="71" t="n"/>
      <c r="Q971" s="71" t="n"/>
      <c r="R971" s="46" t="n"/>
      <c r="S971" s="46" t="n"/>
      <c r="T971" s="71" t="n"/>
      <c r="U971" s="71" t="n"/>
      <c r="V971" s="71" t="n"/>
      <c r="W971" s="71" t="n"/>
      <c r="X971" s="71" t="n"/>
    </row>
    <row r="972">
      <c r="A972" s="72" t="n"/>
      <c r="B972" s="72" t="n"/>
      <c r="C972" s="72" t="n"/>
      <c r="D972" s="72" t="n"/>
      <c r="E972" s="72" t="n"/>
      <c r="F972" s="73" t="n"/>
      <c r="G972" s="73" t="n"/>
      <c r="H972" s="72" t="n"/>
      <c r="I972" s="72" t="n"/>
      <c r="J972" s="72" t="n"/>
      <c r="K972" s="72" t="n"/>
      <c r="L972" s="72" t="n"/>
      <c r="M972" s="72" t="n"/>
      <c r="N972" s="72" t="n"/>
      <c r="O972" s="72" t="n"/>
      <c r="P972" s="72" t="n"/>
      <c r="Q972" s="72" t="n"/>
      <c r="R972" s="73" t="n"/>
      <c r="S972" s="73" t="n"/>
      <c r="T972" s="72" t="n"/>
      <c r="U972" s="72" t="n"/>
      <c r="V972" s="72" t="n"/>
      <c r="W972" s="72" t="n"/>
      <c r="X972" s="72" t="n"/>
    </row>
    <row r="973">
      <c r="A973" s="71" t="n"/>
      <c r="B973" s="71" t="n"/>
      <c r="C973" s="71" t="n"/>
      <c r="D973" s="71" t="n"/>
      <c r="E973" s="71" t="n"/>
      <c r="F973" s="46" t="n"/>
      <c r="G973" s="46" t="n"/>
      <c r="H973" s="71" t="n"/>
      <c r="I973" s="71" t="n"/>
      <c r="J973" s="71" t="n"/>
      <c r="K973" s="71" t="n"/>
      <c r="L973" s="71" t="n"/>
      <c r="M973" s="71" t="n"/>
      <c r="N973" s="71" t="n"/>
      <c r="O973" s="71" t="n"/>
      <c r="P973" s="71" t="n"/>
      <c r="Q973" s="71" t="n"/>
      <c r="R973" s="46" t="n"/>
      <c r="S973" s="46" t="n"/>
      <c r="T973" s="71" t="n"/>
      <c r="U973" s="71" t="n"/>
      <c r="V973" s="71" t="n"/>
      <c r="W973" s="71" t="n"/>
      <c r="X973" s="71" t="n"/>
    </row>
    <row r="974">
      <c r="A974" s="72" t="n"/>
      <c r="B974" s="72" t="n"/>
      <c r="C974" s="72" t="n"/>
      <c r="D974" s="72" t="n"/>
      <c r="E974" s="72" t="n"/>
      <c r="F974" s="73" t="n"/>
      <c r="G974" s="73" t="n"/>
      <c r="H974" s="72" t="n"/>
      <c r="I974" s="72" t="n"/>
      <c r="J974" s="72" t="n"/>
      <c r="K974" s="72" t="n"/>
      <c r="L974" s="72" t="n"/>
      <c r="M974" s="72" t="n"/>
      <c r="N974" s="72" t="n"/>
      <c r="O974" s="72" t="n"/>
      <c r="P974" s="72" t="n"/>
      <c r="Q974" s="72" t="n"/>
      <c r="R974" s="73" t="n"/>
      <c r="S974" s="73" t="n"/>
      <c r="T974" s="72" t="n"/>
      <c r="U974" s="72" t="n"/>
      <c r="V974" s="72" t="n"/>
      <c r="W974" s="72" t="n"/>
      <c r="X974" s="72" t="n"/>
    </row>
    <row r="975">
      <c r="A975" s="71" t="n"/>
      <c r="B975" s="71" t="n"/>
      <c r="C975" s="71" t="n"/>
      <c r="D975" s="71" t="n"/>
      <c r="E975" s="71" t="n"/>
      <c r="F975" s="46" t="n"/>
      <c r="G975" s="46" t="n"/>
      <c r="H975" s="71" t="n"/>
      <c r="I975" s="71" t="n"/>
      <c r="J975" s="71" t="n"/>
      <c r="K975" s="71" t="n"/>
      <c r="L975" s="71" t="n"/>
      <c r="M975" s="71" t="n"/>
      <c r="N975" s="71" t="n"/>
      <c r="O975" s="71" t="n"/>
      <c r="P975" s="71" t="n"/>
      <c r="Q975" s="71" t="n"/>
      <c r="R975" s="46" t="n"/>
      <c r="S975" s="46" t="n"/>
      <c r="T975" s="71" t="n"/>
      <c r="U975" s="71" t="n"/>
      <c r="V975" s="71" t="n"/>
      <c r="W975" s="71" t="n"/>
      <c r="X975" s="71" t="n"/>
    </row>
    <row r="976">
      <c r="A976" s="72" t="n"/>
      <c r="B976" s="72" t="n"/>
      <c r="C976" s="72" t="n"/>
      <c r="D976" s="72" t="n"/>
      <c r="E976" s="72" t="n"/>
      <c r="F976" s="73" t="n"/>
      <c r="G976" s="73" t="n"/>
      <c r="H976" s="72" t="n"/>
      <c r="I976" s="72" t="n"/>
      <c r="J976" s="72" t="n"/>
      <c r="K976" s="72" t="n"/>
      <c r="L976" s="72" t="n"/>
      <c r="M976" s="72" t="n"/>
      <c r="N976" s="72" t="n"/>
      <c r="O976" s="72" t="n"/>
      <c r="P976" s="72" t="n"/>
      <c r="Q976" s="72" t="n"/>
      <c r="R976" s="73" t="n"/>
      <c r="S976" s="73" t="n"/>
      <c r="T976" s="72" t="n"/>
      <c r="U976" s="72" t="n"/>
      <c r="V976" s="72" t="n"/>
      <c r="W976" s="72" t="n"/>
      <c r="X976" s="72" t="n"/>
    </row>
    <row r="977">
      <c r="A977" s="71" t="n"/>
      <c r="B977" s="71" t="n"/>
      <c r="C977" s="71" t="n"/>
      <c r="D977" s="71" t="n"/>
      <c r="E977" s="71" t="n"/>
      <c r="F977" s="46" t="n"/>
      <c r="G977" s="46" t="n"/>
      <c r="H977" s="71" t="n"/>
      <c r="I977" s="71" t="n"/>
      <c r="J977" s="71" t="n"/>
      <c r="K977" s="71" t="n"/>
      <c r="L977" s="71" t="n"/>
      <c r="M977" s="71" t="n"/>
      <c r="N977" s="71" t="n"/>
      <c r="O977" s="71" t="n"/>
      <c r="P977" s="71" t="n"/>
      <c r="Q977" s="71" t="n"/>
      <c r="R977" s="46" t="n"/>
      <c r="S977" s="46" t="n"/>
      <c r="T977" s="71" t="n"/>
      <c r="U977" s="71" t="n"/>
      <c r="V977" s="71" t="n"/>
      <c r="W977" s="71" t="n"/>
      <c r="X977" s="71" t="n"/>
    </row>
    <row r="978">
      <c r="A978" s="72" t="n"/>
      <c r="B978" s="72" t="n"/>
      <c r="C978" s="72" t="n"/>
      <c r="D978" s="72" t="n"/>
      <c r="E978" s="72" t="n"/>
      <c r="F978" s="73" t="n"/>
      <c r="G978" s="73" t="n"/>
      <c r="H978" s="72" t="n"/>
      <c r="I978" s="72" t="n"/>
      <c r="J978" s="72" t="n"/>
      <c r="K978" s="72" t="n"/>
      <c r="L978" s="72" t="n"/>
      <c r="M978" s="72" t="n"/>
      <c r="N978" s="72" t="n"/>
      <c r="O978" s="72" t="n"/>
      <c r="P978" s="72" t="n"/>
      <c r="Q978" s="72" t="n"/>
      <c r="R978" s="73" t="n"/>
      <c r="S978" s="73" t="n"/>
      <c r="T978" s="72" t="n"/>
      <c r="U978" s="72" t="n"/>
      <c r="V978" s="72" t="n"/>
      <c r="W978" s="72" t="n"/>
      <c r="X978" s="72" t="n"/>
    </row>
    <row r="979">
      <c r="A979" s="71" t="n"/>
      <c r="B979" s="71" t="n"/>
      <c r="C979" s="71" t="n"/>
      <c r="D979" s="71" t="n"/>
      <c r="E979" s="71" t="n"/>
      <c r="F979" s="46" t="n"/>
      <c r="G979" s="46" t="n"/>
      <c r="H979" s="71" t="n"/>
      <c r="I979" s="71" t="n"/>
      <c r="J979" s="71" t="n"/>
      <c r="K979" s="71" t="n"/>
      <c r="L979" s="71" t="n"/>
      <c r="M979" s="71" t="n"/>
      <c r="N979" s="71" t="n"/>
      <c r="O979" s="71" t="n"/>
      <c r="P979" s="71" t="n"/>
      <c r="Q979" s="71" t="n"/>
      <c r="R979" s="71" t="n"/>
      <c r="S979" s="71" t="n"/>
      <c r="T979" s="71" t="n"/>
      <c r="U979" s="71" t="n"/>
      <c r="V979" s="71" t="n"/>
      <c r="W979" s="71" t="n"/>
      <c r="X979" s="71" t="n"/>
    </row>
    <row r="980">
      <c r="A980" s="72" t="n"/>
      <c r="B980" s="72" t="n"/>
      <c r="C980" s="72" t="n"/>
      <c r="D980" s="72" t="n"/>
      <c r="E980" s="72" t="n"/>
      <c r="F980" s="73" t="n"/>
      <c r="G980" s="73" t="n"/>
      <c r="H980" s="72" t="n"/>
      <c r="I980" s="72" t="n"/>
      <c r="J980" s="72" t="n"/>
      <c r="K980" s="72" t="n"/>
      <c r="L980" s="72" t="n"/>
      <c r="M980" s="72" t="n"/>
      <c r="N980" s="72" t="n"/>
      <c r="O980" s="72" t="n"/>
      <c r="P980" s="72" t="n"/>
      <c r="Q980" s="72" t="n"/>
      <c r="R980" s="72" t="n"/>
      <c r="S980" s="72" t="n"/>
      <c r="T980" s="72" t="n"/>
      <c r="U980" s="72" t="n"/>
      <c r="V980" s="72" t="n"/>
      <c r="W980" s="72" t="n"/>
      <c r="X980" s="72" t="n"/>
    </row>
    <row r="981">
      <c r="A981" s="71" t="n"/>
      <c r="B981" s="71" t="n"/>
      <c r="C981" s="71" t="n"/>
      <c r="D981" s="71" t="n"/>
      <c r="E981" s="71" t="n"/>
      <c r="F981" s="46" t="n"/>
      <c r="G981" s="46" t="n"/>
      <c r="H981" s="71" t="n"/>
      <c r="I981" s="71" t="n"/>
      <c r="J981" s="71" t="n"/>
      <c r="K981" s="71" t="n"/>
      <c r="L981" s="71" t="n"/>
      <c r="M981" s="71" t="n"/>
      <c r="N981" s="71" t="n"/>
      <c r="O981" s="71" t="n"/>
      <c r="P981" s="71" t="n"/>
      <c r="Q981" s="71" t="n"/>
      <c r="R981" s="71" t="n"/>
      <c r="S981" s="71" t="n"/>
      <c r="T981" s="71" t="n"/>
      <c r="U981" s="71" t="n"/>
      <c r="V981" s="71" t="n"/>
      <c r="W981" s="71" t="n"/>
      <c r="X981" s="71" t="n"/>
    </row>
    <row r="982">
      <c r="A982" s="72" t="n"/>
      <c r="B982" s="72" t="n"/>
      <c r="C982" s="72" t="n"/>
      <c r="D982" s="72" t="n"/>
      <c r="E982" s="72" t="n"/>
      <c r="F982" s="73" t="n"/>
      <c r="G982" s="73" t="n"/>
      <c r="H982" s="72" t="n"/>
      <c r="I982" s="72" t="n"/>
      <c r="J982" s="72" t="n"/>
      <c r="K982" s="72" t="n"/>
      <c r="L982" s="72" t="n"/>
      <c r="M982" s="72" t="n"/>
      <c r="N982" s="72" t="n"/>
      <c r="O982" s="72" t="n"/>
      <c r="P982" s="72" t="n"/>
      <c r="Q982" s="72" t="n"/>
      <c r="R982" s="72" t="n"/>
      <c r="S982" s="72" t="n"/>
      <c r="T982" s="72" t="n"/>
      <c r="U982" s="72" t="n"/>
      <c r="V982" s="72" t="n"/>
      <c r="W982" s="72" t="n"/>
      <c r="X982" s="72" t="n"/>
    </row>
    <row r="983">
      <c r="A983" s="71" t="n"/>
      <c r="B983" s="71" t="n"/>
      <c r="C983" s="71" t="n"/>
      <c r="D983" s="71" t="n"/>
      <c r="E983" s="71" t="n"/>
      <c r="F983" s="46" t="n"/>
      <c r="G983" s="46" t="n"/>
      <c r="H983" s="71" t="n"/>
      <c r="I983" s="71" t="n"/>
      <c r="J983" s="71" t="n"/>
      <c r="K983" s="71" t="n"/>
      <c r="L983" s="71" t="n"/>
      <c r="M983" s="71" t="n"/>
      <c r="N983" s="71" t="n"/>
      <c r="O983" s="71" t="n"/>
      <c r="P983" s="71" t="n"/>
      <c r="Q983" s="71" t="n"/>
      <c r="R983" s="71" t="n"/>
      <c r="S983" s="71" t="n"/>
      <c r="T983" s="71" t="n"/>
      <c r="U983" s="71" t="n"/>
      <c r="V983" s="71" t="n"/>
      <c r="W983" s="71" t="n"/>
      <c r="X983" s="71" t="n"/>
    </row>
    <row r="984">
      <c r="A984" s="72" t="n"/>
      <c r="B984" s="72" t="n"/>
      <c r="C984" s="72" t="n"/>
      <c r="D984" s="72" t="n"/>
      <c r="E984" s="72" t="n"/>
      <c r="F984" s="73" t="n"/>
      <c r="G984" s="73" t="n"/>
      <c r="H984" s="72" t="n"/>
      <c r="I984" s="72" t="n"/>
      <c r="J984" s="72" t="n"/>
      <c r="K984" s="72" t="n"/>
      <c r="L984" s="72" t="n"/>
      <c r="M984" s="72" t="n"/>
      <c r="N984" s="72" t="n"/>
      <c r="O984" s="72" t="n"/>
      <c r="P984" s="72" t="n"/>
      <c r="Q984" s="72" t="n"/>
      <c r="R984" s="72" t="n"/>
      <c r="S984" s="72" t="n"/>
      <c r="T984" s="72" t="n"/>
      <c r="U984" s="72" t="n"/>
      <c r="V984" s="72" t="n"/>
      <c r="W984" s="72" t="n"/>
      <c r="X984" s="72" t="n"/>
    </row>
    <row r="985">
      <c r="A985" s="71" t="n"/>
      <c r="B985" s="71" t="n"/>
      <c r="C985" s="71" t="n"/>
      <c r="D985" s="71" t="n"/>
      <c r="E985" s="71" t="n"/>
      <c r="F985" s="46" t="n"/>
      <c r="G985" s="46" t="n"/>
      <c r="H985" s="71" t="n"/>
      <c r="I985" s="71" t="n"/>
      <c r="J985" s="71" t="n"/>
      <c r="K985" s="71" t="n"/>
      <c r="L985" s="71" t="n"/>
      <c r="M985" s="71" t="n"/>
      <c r="N985" s="71" t="n"/>
      <c r="O985" s="71" t="n"/>
      <c r="P985" s="71" t="n"/>
      <c r="Q985" s="71" t="n"/>
      <c r="R985" s="71" t="n"/>
      <c r="S985" s="71" t="n"/>
      <c r="T985" s="71" t="n"/>
      <c r="U985" s="71" t="n"/>
      <c r="V985" s="71" t="n"/>
      <c r="W985" s="71" t="n"/>
      <c r="X985" s="71" t="n"/>
    </row>
    <row r="986">
      <c r="A986" s="72" t="n"/>
      <c r="B986" s="72" t="n"/>
      <c r="C986" s="72" t="n"/>
      <c r="D986" s="72" t="n"/>
      <c r="E986" s="72" t="n"/>
      <c r="F986" s="73" t="n"/>
      <c r="G986" s="73" t="n"/>
      <c r="H986" s="72" t="n"/>
      <c r="I986" s="72" t="n"/>
      <c r="J986" s="72" t="n"/>
      <c r="K986" s="72" t="n"/>
      <c r="L986" s="72" t="n"/>
      <c r="M986" s="72" t="n"/>
      <c r="N986" s="72" t="n"/>
      <c r="O986" s="72" t="n"/>
      <c r="P986" s="72" t="n"/>
      <c r="Q986" s="72" t="n"/>
      <c r="R986" s="72" t="n"/>
      <c r="S986" s="72" t="n"/>
      <c r="T986" s="72" t="n"/>
      <c r="U986" s="72" t="n"/>
      <c r="V986" s="72" t="n"/>
      <c r="W986" s="72" t="n"/>
      <c r="X986" s="72" t="n"/>
    </row>
    <row r="987">
      <c r="A987" s="71" t="n"/>
      <c r="B987" s="71" t="n"/>
      <c r="C987" s="71" t="n"/>
      <c r="D987" s="71" t="n"/>
      <c r="E987" s="71" t="n"/>
      <c r="F987" s="46" t="n"/>
      <c r="G987" s="46" t="n"/>
      <c r="H987" s="71" t="n"/>
      <c r="I987" s="71" t="n"/>
      <c r="J987" s="71" t="n"/>
      <c r="K987" s="71" t="n"/>
      <c r="L987" s="71" t="n"/>
      <c r="M987" s="71" t="n"/>
      <c r="N987" s="71" t="n"/>
      <c r="O987" s="71" t="n"/>
      <c r="P987" s="71" t="n"/>
      <c r="Q987" s="71" t="n"/>
      <c r="R987" s="71" t="n"/>
      <c r="S987" s="71" t="n"/>
      <c r="T987" s="71" t="n"/>
      <c r="U987" s="71" t="n"/>
      <c r="V987" s="71" t="n"/>
      <c r="W987" s="71" t="n"/>
      <c r="X987" s="71" t="n"/>
    </row>
    <row r="988">
      <c r="A988" s="72" t="n"/>
      <c r="B988" s="72" t="n"/>
      <c r="C988" s="72" t="n"/>
      <c r="D988" s="72" t="n"/>
      <c r="E988" s="72" t="n"/>
      <c r="F988" s="73" t="n"/>
      <c r="G988" s="73" t="n"/>
      <c r="H988" s="72" t="n"/>
      <c r="I988" s="72" t="n"/>
      <c r="J988" s="72" t="n"/>
      <c r="K988" s="72" t="n"/>
      <c r="L988" s="72" t="n"/>
      <c r="M988" s="72" t="n"/>
      <c r="N988" s="72" t="n"/>
      <c r="O988" s="72" t="n"/>
      <c r="P988" s="72" t="n"/>
      <c r="Q988" s="72" t="n"/>
      <c r="R988" s="72" t="n"/>
      <c r="S988" s="72" t="n"/>
      <c r="T988" s="72" t="n"/>
      <c r="U988" s="72" t="n"/>
      <c r="V988" s="72" t="n"/>
      <c r="W988" s="72" t="n"/>
      <c r="X988" s="72" t="n"/>
    </row>
    <row r="989">
      <c r="A989" s="71" t="n"/>
      <c r="B989" s="71" t="n"/>
      <c r="C989" s="71" t="n"/>
      <c r="D989" s="71" t="n"/>
      <c r="E989" s="71" t="n"/>
      <c r="F989" s="46" t="n"/>
      <c r="G989" s="46" t="n"/>
      <c r="H989" s="71" t="n"/>
      <c r="I989" s="71" t="n"/>
      <c r="J989" s="71" t="n"/>
      <c r="K989" s="71" t="n"/>
      <c r="L989" s="71" t="n"/>
      <c r="M989" s="71" t="n"/>
      <c r="N989" s="71" t="n"/>
      <c r="O989" s="71" t="n"/>
      <c r="P989" s="71" t="n"/>
      <c r="Q989" s="71" t="n"/>
      <c r="R989" s="71" t="n"/>
      <c r="S989" s="71" t="n"/>
      <c r="T989" s="71" t="n"/>
      <c r="U989" s="71" t="n"/>
      <c r="V989" s="71" t="n"/>
      <c r="W989" s="71" t="n"/>
      <c r="X989" s="71" t="n"/>
    </row>
    <row r="990">
      <c r="A990" s="72" t="n"/>
      <c r="B990" s="72" t="n"/>
      <c r="C990" s="72" t="n"/>
      <c r="D990" s="72" t="n"/>
      <c r="E990" s="72" t="n"/>
      <c r="F990" s="73" t="n"/>
      <c r="G990" s="73" t="n"/>
      <c r="H990" s="72" t="n"/>
      <c r="I990" s="72" t="n"/>
      <c r="J990" s="72" t="n"/>
      <c r="K990" s="72" t="n"/>
      <c r="L990" s="72" t="n"/>
      <c r="M990" s="72" t="n"/>
      <c r="N990" s="72" t="n"/>
      <c r="O990" s="72" t="n"/>
      <c r="P990" s="72" t="n"/>
      <c r="Q990" s="72" t="n"/>
      <c r="R990" s="72" t="n"/>
      <c r="S990" s="72" t="n"/>
      <c r="T990" s="72" t="n"/>
      <c r="U990" s="72" t="n"/>
      <c r="V990" s="72" t="n"/>
      <c r="W990" s="72" t="n"/>
      <c r="X990" s="72" t="n"/>
    </row>
    <row r="991">
      <c r="A991" s="71" t="n"/>
      <c r="B991" s="71" t="n"/>
      <c r="C991" s="71" t="n"/>
      <c r="D991" s="71" t="n"/>
      <c r="E991" s="71" t="n"/>
      <c r="F991" s="46" t="n"/>
      <c r="G991" s="46" t="n"/>
      <c r="H991" s="71" t="n"/>
      <c r="I991" s="71" t="n"/>
      <c r="J991" s="71" t="n"/>
      <c r="K991" s="71" t="n"/>
      <c r="L991" s="71" t="n"/>
      <c r="M991" s="71" t="n"/>
      <c r="N991" s="71" t="n"/>
      <c r="O991" s="71" t="n"/>
      <c r="P991" s="71" t="n"/>
      <c r="Q991" s="71" t="n"/>
      <c r="R991" s="71" t="n"/>
      <c r="S991" s="71" t="n"/>
      <c r="T991" s="71" t="n"/>
      <c r="U991" s="71" t="n"/>
      <c r="V991" s="71" t="n"/>
      <c r="W991" s="71" t="n"/>
      <c r="X991" s="71" t="n"/>
    </row>
    <row r="992">
      <c r="A992" s="72" t="n"/>
      <c r="B992" s="72" t="n"/>
      <c r="C992" s="72" t="n"/>
      <c r="D992" s="72" t="n"/>
      <c r="E992" s="72" t="n"/>
      <c r="F992" s="73" t="n"/>
      <c r="G992" s="73" t="n"/>
      <c r="H992" s="72" t="n"/>
      <c r="I992" s="72" t="n"/>
      <c r="J992" s="72" t="n"/>
      <c r="K992" s="72" t="n"/>
      <c r="L992" s="72" t="n"/>
      <c r="M992" s="72" t="n"/>
      <c r="N992" s="72" t="n"/>
      <c r="O992" s="72" t="n"/>
      <c r="P992" s="72" t="n"/>
      <c r="Q992" s="72" t="n"/>
      <c r="R992" s="72" t="n"/>
      <c r="S992" s="72" t="n"/>
      <c r="T992" s="72" t="n"/>
      <c r="U992" s="72" t="n"/>
      <c r="V992" s="72" t="n"/>
      <c r="W992" s="72" t="n"/>
      <c r="X992" s="72" t="n"/>
    </row>
    <row r="993">
      <c r="A993" s="71" t="n"/>
      <c r="B993" s="71" t="n"/>
      <c r="C993" s="71" t="n"/>
      <c r="D993" s="71" t="n"/>
      <c r="E993" s="71" t="n"/>
      <c r="F993" s="46" t="n"/>
      <c r="G993" s="46" t="n"/>
      <c r="H993" s="71" t="n"/>
      <c r="I993" s="71" t="n"/>
      <c r="J993" s="71" t="n"/>
      <c r="K993" s="71" t="n"/>
      <c r="L993" s="71" t="n"/>
      <c r="M993" s="71" t="n"/>
      <c r="N993" s="71" t="n"/>
      <c r="O993" s="71" t="n"/>
      <c r="P993" s="71" t="n"/>
      <c r="Q993" s="71" t="n"/>
      <c r="R993" s="71" t="n"/>
      <c r="S993" s="71" t="n"/>
      <c r="T993" s="71" t="n"/>
      <c r="U993" s="71" t="n"/>
      <c r="V993" s="71" t="n"/>
      <c r="W993" s="71" t="n"/>
      <c r="X993" s="71" t="n"/>
    </row>
    <row r="994">
      <c r="A994" s="72" t="n"/>
      <c r="B994" s="72" t="n"/>
      <c r="C994" s="72" t="n"/>
      <c r="D994" s="72" t="n"/>
      <c r="E994" s="72" t="n"/>
      <c r="F994" s="73" t="n"/>
      <c r="G994" s="73" t="n"/>
      <c r="H994" s="72" t="n"/>
      <c r="I994" s="72" t="n"/>
      <c r="J994" s="72" t="n"/>
      <c r="K994" s="72" t="n"/>
      <c r="L994" s="72" t="n"/>
      <c r="M994" s="72" t="n"/>
      <c r="N994" s="72" t="n"/>
      <c r="O994" s="72" t="n"/>
      <c r="P994" s="72" t="n"/>
      <c r="Q994" s="72" t="n"/>
      <c r="R994" s="72" t="n"/>
      <c r="S994" s="72" t="n"/>
      <c r="T994" s="72" t="n"/>
      <c r="U994" s="72" t="n"/>
      <c r="V994" s="72" t="n"/>
      <c r="W994" s="72" t="n"/>
      <c r="X994" s="72" t="n"/>
    </row>
    <row r="995">
      <c r="A995" s="71" t="n"/>
      <c r="B995" s="71" t="n"/>
      <c r="C995" s="71" t="n"/>
      <c r="D995" s="71" t="n"/>
      <c r="E995" s="71" t="n"/>
      <c r="F995" s="46" t="n"/>
      <c r="G995" s="46" t="n"/>
      <c r="H995" s="71" t="n"/>
      <c r="I995" s="71" t="n"/>
      <c r="J995" s="71" t="n"/>
      <c r="K995" s="71" t="n"/>
      <c r="L995" s="71" t="n"/>
      <c r="M995" s="71" t="n"/>
      <c r="N995" s="71" t="n"/>
      <c r="O995" s="71" t="n"/>
      <c r="P995" s="71" t="n"/>
      <c r="Q995" s="71" t="n"/>
      <c r="R995" s="71" t="n"/>
      <c r="S995" s="71" t="n"/>
      <c r="T995" s="71" t="n"/>
      <c r="U995" s="71" t="n"/>
      <c r="V995" s="71" t="n"/>
      <c r="W995" s="71" t="n"/>
      <c r="X995" s="71" t="n"/>
    </row>
    <row r="996">
      <c r="A996" s="72" t="n"/>
      <c r="B996" s="72" t="n"/>
      <c r="C996" s="72" t="n"/>
      <c r="D996" s="72" t="n"/>
      <c r="E996" s="72" t="n"/>
      <c r="F996" s="73" t="n"/>
      <c r="G996" s="73" t="n"/>
      <c r="H996" s="72" t="n"/>
      <c r="I996" s="72" t="n"/>
      <c r="J996" s="72" t="n"/>
      <c r="K996" s="72" t="n"/>
      <c r="L996" s="72" t="n"/>
      <c r="M996" s="72" t="n"/>
      <c r="N996" s="72" t="n"/>
      <c r="O996" s="72" t="n"/>
      <c r="P996" s="72" t="n"/>
      <c r="Q996" s="72" t="n"/>
      <c r="R996" s="72" t="n"/>
      <c r="S996" s="72" t="n"/>
      <c r="T996" s="72" t="n"/>
      <c r="U996" s="72" t="n"/>
      <c r="V996" s="72" t="n"/>
      <c r="W996" s="72" t="n"/>
      <c r="X996" s="72" t="n"/>
    </row>
    <row r="997">
      <c r="A997" s="71" t="n"/>
      <c r="B997" s="71" t="n"/>
      <c r="C997" s="71" t="n"/>
      <c r="D997" s="71" t="n"/>
      <c r="E997" s="71" t="n"/>
      <c r="F997" s="46" t="n"/>
      <c r="G997" s="46" t="n"/>
      <c r="H997" s="71" t="n"/>
      <c r="I997" s="71" t="n"/>
      <c r="J997" s="71" t="n"/>
      <c r="K997" s="71" t="n"/>
      <c r="L997" s="71" t="n"/>
      <c r="M997" s="71" t="n"/>
      <c r="N997" s="71" t="n"/>
      <c r="O997" s="71" t="n"/>
      <c r="P997" s="71" t="n"/>
      <c r="Q997" s="71" t="n"/>
      <c r="R997" s="71" t="n"/>
      <c r="S997" s="71" t="n"/>
      <c r="T997" s="71" t="n"/>
      <c r="U997" s="71" t="n"/>
      <c r="V997" s="71" t="n"/>
      <c r="W997" s="71" t="n"/>
      <c r="X997" s="71" t="n"/>
    </row>
    <row r="998">
      <c r="A998" s="72" t="n"/>
      <c r="B998" s="72" t="n"/>
      <c r="C998" s="72" t="n"/>
      <c r="D998" s="72" t="n"/>
      <c r="E998" s="72" t="n"/>
      <c r="F998" s="73" t="n"/>
      <c r="G998" s="73" t="n"/>
      <c r="H998" s="72" t="n"/>
      <c r="I998" s="72" t="n"/>
      <c r="J998" s="72" t="n"/>
      <c r="K998" s="72" t="n"/>
      <c r="L998" s="72" t="n"/>
      <c r="M998" s="72" t="n"/>
      <c r="N998" s="72" t="n"/>
      <c r="O998" s="72" t="n"/>
      <c r="P998" s="72" t="n"/>
      <c r="Q998" s="72" t="n"/>
      <c r="R998" s="72" t="n"/>
      <c r="S998" s="72" t="n"/>
      <c r="T998" s="72" t="n"/>
      <c r="U998" s="72" t="n"/>
      <c r="V998" s="72" t="n"/>
      <c r="W998" s="72" t="n"/>
      <c r="X998" s="72" t="n"/>
    </row>
    <row r="999">
      <c r="A999" s="71" t="n"/>
      <c r="B999" s="71" t="n"/>
      <c r="C999" s="71" t="n"/>
      <c r="D999" s="71" t="n"/>
      <c r="E999" s="71" t="n"/>
      <c r="F999" s="46" t="n"/>
      <c r="G999" s="46" t="n"/>
      <c r="H999" s="71" t="n"/>
      <c r="I999" s="71" t="n"/>
      <c r="J999" s="71" t="n"/>
      <c r="K999" s="71" t="n"/>
      <c r="L999" s="71" t="n"/>
      <c r="M999" s="71" t="n"/>
      <c r="N999" s="71" t="n"/>
      <c r="O999" s="71" t="n"/>
      <c r="P999" s="71" t="n"/>
      <c r="Q999" s="71" t="n"/>
      <c r="R999" s="71" t="n"/>
      <c r="S999" s="71" t="n"/>
      <c r="T999" s="71" t="n"/>
      <c r="U999" s="71" t="n"/>
      <c r="V999" s="71" t="n"/>
      <c r="W999" s="71" t="n"/>
      <c r="X999" s="71" t="n"/>
    </row>
    <row r="1000">
      <c r="A1000" s="72" t="n"/>
      <c r="B1000" s="72" t="n"/>
      <c r="C1000" s="72" t="n"/>
      <c r="D1000" s="72" t="n"/>
      <c r="E1000" s="72" t="n"/>
      <c r="F1000" s="73" t="n"/>
      <c r="G1000" s="73" t="n"/>
      <c r="H1000" s="72" t="n"/>
      <c r="I1000" s="72" t="n"/>
      <c r="J1000" s="72" t="n"/>
      <c r="K1000" s="72" t="n"/>
      <c r="L1000" s="72" t="n"/>
      <c r="M1000" s="72" t="n"/>
      <c r="N1000" s="72" t="n"/>
      <c r="O1000" s="72" t="n"/>
      <c r="P1000" s="72" t="n"/>
      <c r="Q1000" s="72" t="n"/>
      <c r="R1000" s="72" t="n"/>
      <c r="S1000" s="72" t="n"/>
      <c r="T1000" s="72" t="n"/>
      <c r="U1000" s="72" t="n"/>
      <c r="V1000" s="72" t="n"/>
      <c r="W1000" s="72" t="n"/>
      <c r="X1000" s="72" t="n"/>
    </row>
    <row r="1001">
      <c r="A1001" s="71" t="n"/>
      <c r="B1001" s="71" t="n"/>
      <c r="C1001" s="71" t="n"/>
      <c r="D1001" s="71" t="n"/>
      <c r="E1001" s="71" t="n"/>
      <c r="F1001" s="46" t="n"/>
      <c r="G1001" s="46" t="n"/>
      <c r="H1001" s="71" t="n"/>
      <c r="I1001" s="71" t="n"/>
      <c r="J1001" s="71" t="n"/>
      <c r="K1001" s="71" t="n"/>
      <c r="L1001" s="71" t="n"/>
      <c r="M1001" s="71" t="n"/>
      <c r="N1001" s="71" t="n"/>
      <c r="O1001" s="71" t="n"/>
      <c r="P1001" s="71" t="n"/>
      <c r="Q1001" s="71" t="n"/>
      <c r="R1001" s="71" t="n"/>
      <c r="S1001" s="71" t="n"/>
      <c r="T1001" s="71" t="n"/>
      <c r="U1001" s="71" t="n"/>
      <c r="V1001" s="71" t="n"/>
      <c r="W1001" s="71" t="n"/>
      <c r="X1001" s="71" t="n"/>
    </row>
    <row r="1002">
      <c r="A1002" s="72" t="n"/>
      <c r="B1002" s="72" t="n"/>
      <c r="C1002" s="72" t="n"/>
      <c r="D1002" s="72" t="n"/>
      <c r="E1002" s="72" t="n"/>
      <c r="F1002" s="73" t="n"/>
      <c r="G1002" s="73" t="n"/>
      <c r="H1002" s="72" t="n"/>
      <c r="I1002" s="72" t="n"/>
      <c r="J1002" s="72" t="n"/>
      <c r="K1002" s="72" t="n"/>
      <c r="L1002" s="72" t="n"/>
      <c r="M1002" s="72" t="n"/>
      <c r="N1002" s="72" t="n"/>
      <c r="O1002" s="72" t="n"/>
      <c r="P1002" s="72" t="n"/>
      <c r="Q1002" s="72" t="n"/>
      <c r="R1002" s="72" t="n"/>
      <c r="S1002" s="72" t="n"/>
      <c r="T1002" s="72" t="n"/>
      <c r="U1002" s="72" t="n"/>
      <c r="V1002" s="72" t="n"/>
      <c r="W1002" s="72" t="n"/>
      <c r="X1002" s="72" t="n"/>
    </row>
    <row r="1003">
      <c r="A1003" s="71" t="n"/>
      <c r="B1003" s="71" t="n"/>
      <c r="C1003" s="71" t="n"/>
      <c r="D1003" s="71" t="n"/>
      <c r="E1003" s="71" t="n"/>
      <c r="F1003" s="46" t="n"/>
      <c r="G1003" s="46" t="n"/>
      <c r="H1003" s="71" t="n"/>
      <c r="I1003" s="71" t="n"/>
      <c r="J1003" s="71" t="n"/>
      <c r="K1003" s="71" t="n"/>
      <c r="L1003" s="71" t="n"/>
      <c r="M1003" s="71" t="n"/>
      <c r="N1003" s="71" t="n"/>
      <c r="O1003" s="71" t="n"/>
      <c r="P1003" s="71" t="n"/>
      <c r="Q1003" s="71" t="n"/>
      <c r="R1003" s="71" t="n"/>
      <c r="S1003" s="71" t="n"/>
      <c r="T1003" s="71" t="n"/>
      <c r="U1003" s="71" t="n"/>
      <c r="V1003" s="71" t="n"/>
      <c r="W1003" s="71" t="n"/>
      <c r="X1003" s="71" t="n"/>
    </row>
    <row r="1004">
      <c r="A1004" s="72" t="n"/>
      <c r="B1004" s="72" t="n"/>
      <c r="C1004" s="72" t="n"/>
      <c r="D1004" s="72" t="n"/>
      <c r="E1004" s="72" t="n"/>
      <c r="F1004" s="73" t="n"/>
      <c r="G1004" s="73" t="n"/>
      <c r="H1004" s="72" t="n"/>
      <c r="I1004" s="72" t="n"/>
      <c r="J1004" s="72" t="n"/>
      <c r="K1004" s="72" t="n"/>
      <c r="L1004" s="72" t="n"/>
      <c r="M1004" s="72" t="n"/>
      <c r="N1004" s="72" t="n"/>
      <c r="O1004" s="72" t="n"/>
      <c r="P1004" s="72" t="n"/>
      <c r="Q1004" s="72" t="n"/>
      <c r="R1004" s="72" t="n"/>
      <c r="S1004" s="72" t="n"/>
      <c r="T1004" s="72" t="n"/>
      <c r="U1004" s="72" t="n"/>
      <c r="V1004" s="72" t="n"/>
      <c r="W1004" s="72" t="n"/>
      <c r="X1004" s="72" t="n"/>
    </row>
    <row r="1005">
      <c r="A1005" s="71" t="n"/>
      <c r="B1005" s="71" t="n"/>
      <c r="C1005" s="71" t="n"/>
      <c r="D1005" s="71" t="n"/>
      <c r="E1005" s="71" t="n"/>
      <c r="F1005" s="46" t="n"/>
      <c r="G1005" s="46" t="n"/>
      <c r="H1005" s="71" t="n"/>
      <c r="I1005" s="71" t="n"/>
      <c r="J1005" s="71" t="n"/>
      <c r="K1005" s="71" t="n"/>
      <c r="L1005" s="71" t="n"/>
      <c r="M1005" s="71" t="n"/>
      <c r="N1005" s="71" t="n"/>
      <c r="O1005" s="71" t="n"/>
      <c r="P1005" s="71" t="n"/>
      <c r="Q1005" s="71" t="n"/>
      <c r="R1005" s="71" t="n"/>
      <c r="S1005" s="71" t="n"/>
      <c r="T1005" s="71" t="n"/>
      <c r="U1005" s="71" t="n"/>
      <c r="V1005" s="71" t="n"/>
      <c r="W1005" s="71" t="n"/>
      <c r="X1005" s="71" t="n"/>
    </row>
    <row r="1006">
      <c r="A1006" s="72" t="n"/>
      <c r="B1006" s="72" t="n"/>
      <c r="C1006" s="72" t="n"/>
      <c r="D1006" s="72" t="n"/>
      <c r="E1006" s="72" t="n"/>
      <c r="F1006" s="73" t="n"/>
      <c r="G1006" s="73" t="n"/>
      <c r="H1006" s="72" t="n"/>
      <c r="I1006" s="72" t="n"/>
      <c r="J1006" s="72" t="n"/>
      <c r="K1006" s="72" t="n"/>
      <c r="L1006" s="72" t="n"/>
      <c r="M1006" s="72" t="n"/>
      <c r="N1006" s="72" t="n"/>
      <c r="O1006" s="72" t="n"/>
      <c r="P1006" s="72" t="n"/>
      <c r="Q1006" s="72" t="n"/>
      <c r="R1006" s="72" t="n"/>
      <c r="S1006" s="72" t="n"/>
      <c r="T1006" s="72" t="n"/>
      <c r="U1006" s="72" t="n"/>
      <c r="V1006" s="72" t="n"/>
      <c r="W1006" s="72" t="n"/>
      <c r="X1006" s="72" t="n"/>
    </row>
    <row r="1007">
      <c r="A1007" s="71" t="n"/>
      <c r="B1007" s="71" t="n"/>
      <c r="C1007" s="71" t="n"/>
      <c r="D1007" s="71" t="n"/>
      <c r="E1007" s="71" t="n"/>
      <c r="F1007" s="46" t="n"/>
      <c r="G1007" s="46" t="n"/>
      <c r="H1007" s="71" t="n"/>
      <c r="I1007" s="71" t="n"/>
      <c r="J1007" s="71" t="n"/>
      <c r="K1007" s="71" t="n"/>
      <c r="L1007" s="71" t="n"/>
      <c r="M1007" s="71" t="n"/>
      <c r="N1007" s="71" t="n"/>
      <c r="O1007" s="71" t="n"/>
      <c r="P1007" s="71" t="n"/>
      <c r="Q1007" s="71" t="n"/>
      <c r="R1007" s="71" t="n"/>
      <c r="S1007" s="71" t="n"/>
      <c r="T1007" s="71" t="n"/>
      <c r="U1007" s="71" t="n"/>
      <c r="V1007" s="71" t="n"/>
      <c r="W1007" s="71" t="n"/>
      <c r="X1007" s="71" t="n"/>
    </row>
    <row r="1008">
      <c r="A1008" s="72" t="n"/>
      <c r="B1008" s="72" t="n"/>
      <c r="C1008" s="72" t="n"/>
      <c r="D1008" s="72" t="n"/>
      <c r="E1008" s="72" t="n"/>
      <c r="F1008" s="73" t="n"/>
      <c r="G1008" s="73" t="n"/>
      <c r="H1008" s="72" t="n"/>
      <c r="I1008" s="72" t="n"/>
      <c r="J1008" s="72" t="n"/>
      <c r="K1008" s="72" t="n"/>
      <c r="L1008" s="72" t="n"/>
      <c r="M1008" s="72" t="n"/>
      <c r="N1008" s="72" t="n"/>
      <c r="O1008" s="72" t="n"/>
      <c r="P1008" s="72" t="n"/>
      <c r="Q1008" s="72" t="n"/>
      <c r="R1008" s="72" t="n"/>
      <c r="S1008" s="72" t="n"/>
      <c r="T1008" s="72" t="n"/>
      <c r="U1008" s="72" t="n"/>
      <c r="V1008" s="72" t="n"/>
      <c r="W1008" s="72" t="n"/>
      <c r="X1008" s="72" t="n"/>
    </row>
    <row r="1009">
      <c r="A1009" s="71" t="n"/>
      <c r="B1009" s="71" t="n"/>
      <c r="C1009" s="71" t="n"/>
      <c r="D1009" s="71" t="n"/>
      <c r="E1009" s="71" t="n"/>
      <c r="F1009" s="46" t="n"/>
      <c r="G1009" s="46" t="n"/>
      <c r="H1009" s="71" t="n"/>
      <c r="I1009" s="71" t="n"/>
      <c r="J1009" s="71" t="n"/>
      <c r="K1009" s="71" t="n"/>
      <c r="L1009" s="71" t="n"/>
      <c r="M1009" s="71" t="n"/>
      <c r="N1009" s="71" t="n"/>
      <c r="O1009" s="71" t="n"/>
      <c r="P1009" s="71" t="n"/>
      <c r="Q1009" s="71" t="n"/>
      <c r="R1009" s="71" t="n"/>
      <c r="S1009" s="71" t="n"/>
      <c r="T1009" s="71" t="n"/>
      <c r="U1009" s="71" t="n"/>
      <c r="V1009" s="71" t="n"/>
      <c r="W1009" s="71" t="n"/>
      <c r="X1009" s="71" t="n"/>
    </row>
    <row r="1010">
      <c r="A1010" s="72" t="n"/>
      <c r="B1010" s="72" t="n"/>
      <c r="C1010" s="72" t="n"/>
      <c r="D1010" s="72" t="n"/>
      <c r="E1010" s="72" t="n"/>
      <c r="F1010" s="73" t="n"/>
      <c r="G1010" s="73" t="n"/>
      <c r="H1010" s="72" t="n"/>
      <c r="I1010" s="72" t="n"/>
      <c r="J1010" s="72" t="n"/>
      <c r="K1010" s="72" t="n"/>
      <c r="L1010" s="72" t="n"/>
      <c r="M1010" s="72" t="n"/>
      <c r="N1010" s="72" t="n"/>
      <c r="O1010" s="72" t="n"/>
      <c r="P1010" s="72" t="n"/>
      <c r="Q1010" s="72" t="n"/>
      <c r="R1010" s="72" t="n"/>
      <c r="S1010" s="72" t="n"/>
      <c r="T1010" s="72" t="n"/>
      <c r="U1010" s="72" t="n"/>
      <c r="V1010" s="72" t="n"/>
      <c r="W1010" s="72" t="n"/>
      <c r="X1010" s="72" t="n"/>
    </row>
    <row r="1011">
      <c r="A1011" s="71" t="n"/>
      <c r="B1011" s="71" t="n"/>
      <c r="C1011" s="71" t="n"/>
      <c r="D1011" s="71" t="n"/>
      <c r="E1011" s="71" t="n"/>
      <c r="F1011" s="46" t="n"/>
      <c r="G1011" s="46" t="n"/>
      <c r="H1011" s="71" t="n"/>
      <c r="I1011" s="71" t="n"/>
      <c r="J1011" s="71" t="n"/>
      <c r="K1011" s="71" t="n"/>
      <c r="L1011" s="71" t="n"/>
      <c r="M1011" s="71" t="n"/>
      <c r="N1011" s="71" t="n"/>
      <c r="O1011" s="71" t="n"/>
      <c r="P1011" s="71" t="n"/>
      <c r="Q1011" s="71" t="n"/>
      <c r="R1011" s="71" t="n"/>
      <c r="S1011" s="71" t="n"/>
      <c r="T1011" s="71" t="n"/>
      <c r="U1011" s="71" t="n"/>
      <c r="V1011" s="71" t="n"/>
      <c r="W1011" s="71" t="n"/>
      <c r="X1011" s="71" t="n"/>
    </row>
    <row r="1012">
      <c r="A1012" s="72" t="n"/>
      <c r="B1012" s="72" t="n"/>
      <c r="C1012" s="72" t="n"/>
      <c r="D1012" s="72" t="n"/>
      <c r="E1012" s="72" t="n"/>
      <c r="F1012" s="73" t="n"/>
      <c r="G1012" s="73" t="n"/>
      <c r="H1012" s="72" t="n"/>
      <c r="I1012" s="72" t="n"/>
      <c r="J1012" s="72" t="n"/>
      <c r="K1012" s="72" t="n"/>
      <c r="L1012" s="72" t="n"/>
      <c r="M1012" s="72" t="n"/>
      <c r="N1012" s="72" t="n"/>
      <c r="O1012" s="72" t="n"/>
      <c r="P1012" s="72" t="n"/>
      <c r="Q1012" s="72" t="n"/>
      <c r="T1012" s="72" t="n"/>
      <c r="U1012" s="72" t="n"/>
      <c r="V1012" s="72" t="n"/>
      <c r="W1012" s="72" t="n"/>
      <c r="X1012" s="72" t="n"/>
    </row>
    <row r="1013">
      <c r="A1013" s="71" t="n"/>
      <c r="B1013" s="71" t="n"/>
      <c r="C1013" s="71" t="n"/>
      <c r="D1013" s="71" t="n"/>
      <c r="E1013" s="71" t="n"/>
      <c r="F1013" s="46" t="n"/>
      <c r="G1013" s="46" t="n"/>
      <c r="H1013" s="71" t="n"/>
      <c r="I1013" s="71" t="n"/>
      <c r="J1013" s="71" t="n"/>
      <c r="K1013" s="71" t="n"/>
      <c r="L1013" s="71" t="n"/>
      <c r="M1013" s="71" t="n"/>
      <c r="N1013" s="71" t="n"/>
      <c r="O1013" s="71" t="n"/>
      <c r="P1013" s="71" t="n"/>
      <c r="Q1013" s="71" t="n"/>
      <c r="T1013" s="71" t="n"/>
      <c r="U1013" s="71" t="n"/>
      <c r="V1013" s="71" t="n"/>
      <c r="W1013" s="71" t="n"/>
      <c r="X1013" s="71" t="n"/>
    </row>
    <row r="1014">
      <c r="A1014" s="72" t="n"/>
      <c r="B1014" s="72" t="n"/>
      <c r="C1014" s="72" t="n"/>
      <c r="D1014" s="72" t="n"/>
      <c r="E1014" s="72" t="n"/>
      <c r="F1014" s="73" t="n"/>
      <c r="G1014" s="73" t="n"/>
      <c r="H1014" s="72" t="n"/>
      <c r="I1014" s="72" t="n"/>
      <c r="J1014" s="72" t="n"/>
      <c r="K1014" s="72" t="n"/>
      <c r="L1014" s="72" t="n"/>
      <c r="M1014" s="72" t="n"/>
      <c r="N1014" s="72" t="n"/>
      <c r="O1014" s="72" t="n"/>
      <c r="P1014" s="72" t="n"/>
      <c r="Q1014" s="72" t="n"/>
      <c r="T1014" s="72" t="n"/>
      <c r="U1014" s="72" t="n"/>
      <c r="V1014" s="72" t="n"/>
      <c r="W1014" s="72" t="n"/>
      <c r="X1014" s="72" t="n"/>
    </row>
    <row r="1015">
      <c r="A1015" s="71" t="n"/>
      <c r="B1015" s="71" t="n"/>
      <c r="C1015" s="71" t="n"/>
      <c r="D1015" s="71" t="n"/>
      <c r="E1015" s="71" t="n"/>
      <c r="F1015" s="46" t="n"/>
      <c r="G1015" s="46" t="n"/>
      <c r="H1015" s="71" t="n"/>
      <c r="I1015" s="71" t="n"/>
      <c r="J1015" s="71" t="n"/>
      <c r="K1015" s="71" t="n"/>
      <c r="L1015" s="71" t="n"/>
      <c r="M1015" s="71" t="n"/>
      <c r="N1015" s="71" t="n"/>
      <c r="O1015" s="71" t="n"/>
      <c r="P1015" s="71" t="n"/>
      <c r="Q1015" s="71" t="n"/>
      <c r="T1015" s="71" t="n"/>
      <c r="U1015" s="71" t="n"/>
      <c r="V1015" s="71" t="n"/>
      <c r="W1015" s="71" t="n"/>
      <c r="X1015" s="71" t="n"/>
    </row>
    <row r="1016">
      <c r="A1016" s="72" t="n"/>
      <c r="B1016" s="72" t="n"/>
      <c r="C1016" s="72" t="n"/>
      <c r="D1016" s="72" t="n"/>
      <c r="E1016" s="72" t="n"/>
      <c r="F1016" s="73" t="n"/>
      <c r="G1016" s="73" t="n"/>
      <c r="H1016" s="72" t="n"/>
      <c r="I1016" s="72" t="n"/>
      <c r="J1016" s="72" t="n"/>
      <c r="K1016" s="72" t="n"/>
      <c r="L1016" s="72" t="n"/>
      <c r="M1016" s="72" t="n"/>
      <c r="N1016" s="72" t="n"/>
      <c r="O1016" s="72" t="n"/>
      <c r="P1016" s="72" t="n"/>
      <c r="Q1016" s="72" t="n"/>
      <c r="T1016" s="72" t="n"/>
      <c r="U1016" s="72" t="n"/>
      <c r="V1016" s="72" t="n"/>
      <c r="W1016" s="72" t="n"/>
      <c r="X1016" s="72" t="n"/>
    </row>
    <row r="1017">
      <c r="A1017" s="71" t="n"/>
      <c r="B1017" s="71" t="n"/>
      <c r="C1017" s="71" t="n"/>
      <c r="D1017" s="71" t="n"/>
      <c r="E1017" s="71" t="n"/>
      <c r="F1017" s="46" t="n"/>
      <c r="G1017" s="46" t="n"/>
      <c r="H1017" s="71" t="n"/>
      <c r="I1017" s="71" t="n"/>
      <c r="J1017" s="71" t="n"/>
      <c r="K1017" s="71" t="n"/>
      <c r="L1017" s="71" t="n"/>
      <c r="M1017" s="71" t="n"/>
      <c r="N1017" s="71" t="n"/>
      <c r="O1017" s="71" t="n"/>
      <c r="P1017" s="71" t="n"/>
      <c r="Q1017" s="71" t="n"/>
      <c r="T1017" s="71" t="n"/>
      <c r="U1017" s="71" t="n"/>
      <c r="V1017" s="71" t="n"/>
      <c r="W1017" s="71" t="n"/>
      <c r="X1017" s="71" t="n"/>
    </row>
    <row r="1018">
      <c r="A1018" s="72" t="n"/>
      <c r="B1018" s="72" t="n"/>
      <c r="C1018" s="72" t="n"/>
      <c r="D1018" s="72" t="n"/>
      <c r="E1018" s="72" t="n"/>
      <c r="F1018" s="73" t="n"/>
      <c r="G1018" s="73" t="n"/>
      <c r="H1018" s="72" t="n"/>
      <c r="I1018" s="72" t="n"/>
      <c r="J1018" s="72" t="n"/>
      <c r="K1018" s="72" t="n"/>
      <c r="L1018" s="72" t="n"/>
      <c r="M1018" s="72" t="n"/>
      <c r="N1018" s="72" t="n"/>
      <c r="O1018" s="72" t="n"/>
      <c r="P1018" s="72" t="n"/>
      <c r="Q1018" s="72" t="n"/>
      <c r="T1018" s="72" t="n"/>
      <c r="U1018" s="72" t="n"/>
      <c r="V1018" s="72" t="n"/>
      <c r="W1018" s="72" t="n"/>
      <c r="X1018" s="72" t="n"/>
    </row>
    <row r="1019">
      <c r="A1019" s="71" t="n"/>
      <c r="B1019" s="71" t="n"/>
      <c r="C1019" s="71" t="n"/>
      <c r="D1019" s="71" t="n"/>
      <c r="E1019" s="71" t="n"/>
      <c r="F1019" s="46" t="n"/>
      <c r="G1019" s="46" t="n"/>
      <c r="H1019" s="71" t="n"/>
      <c r="I1019" s="71" t="n"/>
      <c r="J1019" s="71" t="n"/>
      <c r="K1019" s="71" t="n"/>
      <c r="L1019" s="71" t="n"/>
      <c r="M1019" s="71" t="n"/>
      <c r="N1019" s="71" t="n"/>
      <c r="O1019" s="71" t="n"/>
      <c r="P1019" s="71" t="n"/>
      <c r="Q1019" s="71" t="n"/>
      <c r="T1019" s="71" t="n"/>
      <c r="U1019" s="71" t="n"/>
      <c r="V1019" s="71" t="n"/>
      <c r="W1019" s="71" t="n"/>
      <c r="X1019" s="71" t="n"/>
    </row>
    <row r="1020">
      <c r="A1020" s="72" t="n"/>
      <c r="B1020" s="72" t="n"/>
      <c r="C1020" s="72" t="n"/>
      <c r="D1020" s="72" t="n"/>
      <c r="E1020" s="72" t="n"/>
      <c r="F1020" s="73" t="n"/>
      <c r="G1020" s="73" t="n"/>
      <c r="H1020" s="72" t="n"/>
      <c r="I1020" s="72" t="n"/>
      <c r="J1020" s="72" t="n"/>
      <c r="K1020" s="72" t="n"/>
      <c r="L1020" s="72" t="n"/>
      <c r="M1020" s="72" t="n"/>
      <c r="N1020" s="72" t="n"/>
      <c r="O1020" s="72" t="n"/>
      <c r="P1020" s="72" t="n"/>
      <c r="Q1020" s="72" t="n"/>
      <c r="T1020" s="72" t="n"/>
      <c r="U1020" s="72" t="n"/>
      <c r="V1020" s="72" t="n"/>
      <c r="W1020" s="72" t="n"/>
      <c r="X1020" s="72" t="n"/>
    </row>
    <row r="1021">
      <c r="A1021" s="71" t="n"/>
      <c r="B1021" s="71" t="n"/>
      <c r="C1021" s="71" t="n"/>
      <c r="D1021" s="71" t="n"/>
      <c r="E1021" s="71" t="n"/>
      <c r="F1021" s="46" t="n"/>
      <c r="G1021" s="46" t="n"/>
      <c r="H1021" s="71" t="n"/>
      <c r="I1021" s="71" t="n"/>
      <c r="J1021" s="71" t="n"/>
      <c r="K1021" s="71" t="n"/>
      <c r="L1021" s="71" t="n"/>
      <c r="M1021" s="71" t="n"/>
      <c r="N1021" s="71" t="n"/>
      <c r="O1021" s="71" t="n"/>
      <c r="P1021" s="71" t="n"/>
      <c r="Q1021" s="71" t="n"/>
      <c r="T1021" s="71" t="n"/>
      <c r="U1021" s="71" t="n"/>
      <c r="V1021" s="71" t="n"/>
      <c r="W1021" s="71" t="n"/>
      <c r="X1021" s="71" t="n"/>
    </row>
    <row r="1022">
      <c r="A1022" s="72" t="n"/>
      <c r="B1022" s="72" t="n"/>
      <c r="C1022" s="72" t="n"/>
      <c r="D1022" s="72" t="n"/>
      <c r="E1022" s="72" t="n"/>
      <c r="F1022" s="73" t="n"/>
      <c r="G1022" s="73" t="n"/>
      <c r="H1022" s="72" t="n"/>
      <c r="I1022" s="72" t="n"/>
      <c r="J1022" s="72" t="n"/>
      <c r="K1022" s="72" t="n"/>
      <c r="L1022" s="72" t="n"/>
      <c r="M1022" s="72" t="n"/>
      <c r="N1022" s="72" t="n"/>
      <c r="O1022" s="72" t="n"/>
      <c r="P1022" s="72" t="n"/>
      <c r="Q1022" s="72" t="n"/>
      <c r="T1022" s="72" t="n"/>
      <c r="U1022" s="72" t="n"/>
      <c r="V1022" s="72" t="n"/>
      <c r="W1022" s="72" t="n"/>
      <c r="X1022" s="72" t="n"/>
    </row>
    <row r="1023">
      <c r="A1023" s="71" t="n"/>
      <c r="B1023" s="71" t="n"/>
      <c r="C1023" s="71" t="n"/>
      <c r="D1023" s="71" t="n"/>
      <c r="E1023" s="71" t="n"/>
      <c r="F1023" s="46" t="n"/>
      <c r="G1023" s="46" t="n"/>
      <c r="H1023" s="71" t="n"/>
      <c r="I1023" s="71" t="n"/>
      <c r="J1023" s="71" t="n"/>
      <c r="K1023" s="71" t="n"/>
      <c r="L1023" s="71" t="n"/>
      <c r="M1023" s="71" t="n"/>
      <c r="N1023" s="71" t="n"/>
      <c r="O1023" s="71" t="n"/>
      <c r="P1023" s="71" t="n"/>
      <c r="Q1023" s="71" t="n"/>
      <c r="T1023" s="71" t="n"/>
      <c r="U1023" s="71" t="n"/>
      <c r="V1023" s="71" t="n"/>
      <c r="W1023" s="71" t="n"/>
      <c r="X1023" s="71" t="n"/>
    </row>
    <row r="1024">
      <c r="A1024" s="72" t="n"/>
      <c r="B1024" s="72" t="n"/>
      <c r="C1024" s="72" t="n"/>
      <c r="D1024" s="72" t="n"/>
      <c r="E1024" s="72" t="n"/>
      <c r="F1024" s="73" t="n"/>
      <c r="G1024" s="73" t="n"/>
      <c r="H1024" s="72" t="n"/>
      <c r="I1024" s="72" t="n"/>
      <c r="J1024" s="72" t="n"/>
      <c r="K1024" s="72" t="n"/>
      <c r="L1024" s="72" t="n"/>
      <c r="M1024" s="72" t="n"/>
      <c r="N1024" s="72" t="n"/>
      <c r="O1024" s="72" t="n"/>
      <c r="P1024" s="72" t="n"/>
      <c r="Q1024" s="72" t="n"/>
      <c r="T1024" s="72" t="n"/>
      <c r="U1024" s="72" t="n"/>
      <c r="V1024" s="72" t="n"/>
      <c r="W1024" s="72" t="n"/>
      <c r="X1024" s="72" t="n"/>
    </row>
    <row r="1025">
      <c r="A1025" s="71" t="n"/>
      <c r="B1025" s="71" t="n"/>
      <c r="C1025" s="71" t="n"/>
      <c r="D1025" s="71" t="n"/>
      <c r="E1025" s="71" t="n"/>
      <c r="F1025" s="46" t="n"/>
      <c r="G1025" s="46" t="n"/>
      <c r="H1025" s="71" t="n"/>
      <c r="I1025" s="71" t="n"/>
      <c r="J1025" s="71" t="n"/>
      <c r="K1025" s="71" t="n"/>
      <c r="L1025" s="71" t="n"/>
      <c r="M1025" s="71" t="n"/>
      <c r="N1025" s="71" t="n"/>
      <c r="O1025" s="71" t="n"/>
      <c r="P1025" s="71" t="n"/>
      <c r="Q1025" s="71" t="n"/>
      <c r="T1025" s="71" t="n"/>
      <c r="U1025" s="71" t="n"/>
      <c r="V1025" s="71" t="n"/>
      <c r="W1025" s="71" t="n"/>
      <c r="X1025" s="71" t="n"/>
    </row>
    <row r="1026">
      <c r="A1026" s="72" t="n"/>
      <c r="B1026" s="72" t="n"/>
      <c r="C1026" s="72" t="n"/>
      <c r="D1026" s="72" t="n"/>
      <c r="E1026" s="72" t="n"/>
      <c r="F1026" s="73" t="n"/>
      <c r="G1026" s="73" t="n"/>
      <c r="H1026" s="72" t="n"/>
      <c r="I1026" s="72" t="n"/>
      <c r="J1026" s="72" t="n"/>
      <c r="K1026" s="72" t="n"/>
      <c r="L1026" s="72" t="n"/>
      <c r="M1026" s="72" t="n"/>
      <c r="N1026" s="72" t="n"/>
      <c r="O1026" s="72" t="n"/>
      <c r="P1026" s="72" t="n"/>
      <c r="Q1026" s="72" t="n"/>
      <c r="T1026" s="72" t="n"/>
      <c r="U1026" s="72" t="n"/>
      <c r="V1026" s="72" t="n"/>
      <c r="W1026" s="72" t="n"/>
      <c r="X1026" s="72" t="n"/>
    </row>
    <row r="1027">
      <c r="A1027" s="71" t="n"/>
      <c r="B1027" s="71" t="n"/>
      <c r="C1027" s="71" t="n"/>
      <c r="D1027" s="71" t="n"/>
      <c r="E1027" s="71" t="n"/>
      <c r="F1027" s="71" t="n"/>
      <c r="G1027" s="71" t="n"/>
      <c r="H1027" s="71" t="n"/>
      <c r="I1027" s="71" t="n"/>
      <c r="J1027" s="71" t="n"/>
      <c r="K1027" s="71" t="n"/>
      <c r="L1027" s="71" t="n"/>
      <c r="M1027" s="71" t="n"/>
      <c r="N1027" s="71" t="n"/>
      <c r="O1027" s="71" t="n"/>
      <c r="P1027" s="71" t="n"/>
      <c r="Q1027" s="71" t="n"/>
      <c r="T1027" s="71" t="n"/>
      <c r="U1027" s="71" t="n"/>
      <c r="V1027" s="71" t="n"/>
      <c r="W1027" s="71" t="n"/>
      <c r="X1027" s="71" t="n"/>
    </row>
    <row r="1028">
      <c r="A1028" s="72" t="n"/>
      <c r="B1028" s="72" t="n"/>
      <c r="C1028" s="72" t="n"/>
      <c r="D1028" s="72" t="n"/>
      <c r="E1028" s="72" t="n"/>
      <c r="F1028" s="72" t="n"/>
      <c r="G1028" s="72" t="n"/>
      <c r="H1028" s="72" t="n"/>
      <c r="I1028" s="72" t="n"/>
      <c r="J1028" s="72" t="n"/>
      <c r="K1028" s="72" t="n"/>
      <c r="L1028" s="72" t="n"/>
      <c r="M1028" s="72" t="n"/>
      <c r="N1028" s="72" t="n"/>
      <c r="O1028" s="72" t="n"/>
      <c r="P1028" s="72" t="n"/>
      <c r="Q1028" s="72" t="n"/>
      <c r="T1028" s="72" t="n"/>
      <c r="U1028" s="72" t="n"/>
      <c r="V1028" s="72" t="n"/>
      <c r="W1028" s="72" t="n"/>
      <c r="X1028" s="72" t="n"/>
    </row>
    <row r="1029">
      <c r="A1029" s="71" t="n"/>
      <c r="B1029" s="71" t="n"/>
      <c r="C1029" s="71" t="n"/>
      <c r="D1029" s="71" t="n"/>
      <c r="E1029" s="71" t="n"/>
      <c r="F1029" s="71" t="n"/>
      <c r="G1029" s="71" t="n"/>
      <c r="H1029" s="71" t="n"/>
      <c r="I1029" s="71" t="n"/>
      <c r="J1029" s="71" t="n"/>
      <c r="K1029" s="71" t="n"/>
      <c r="L1029" s="71" t="n"/>
      <c r="M1029" s="71" t="n"/>
      <c r="N1029" s="71" t="n"/>
      <c r="O1029" s="71" t="n"/>
      <c r="P1029" s="71" t="n"/>
      <c r="Q1029" s="71" t="n"/>
      <c r="T1029" s="71" t="n"/>
      <c r="U1029" s="71" t="n"/>
      <c r="V1029" s="71" t="n"/>
      <c r="W1029" s="71" t="n"/>
      <c r="X1029" s="71" t="n"/>
    </row>
    <row r="1030">
      <c r="A1030" s="72" t="n"/>
      <c r="B1030" s="72" t="n"/>
      <c r="C1030" s="72" t="n"/>
      <c r="D1030" s="72" t="n"/>
      <c r="E1030" s="72" t="n"/>
      <c r="F1030" s="72" t="n"/>
      <c r="G1030" s="72" t="n"/>
      <c r="H1030" s="72" t="n"/>
      <c r="I1030" s="72" t="n"/>
      <c r="J1030" s="72" t="n"/>
      <c r="K1030" s="72" t="n"/>
      <c r="L1030" s="72" t="n"/>
      <c r="M1030" s="72" t="n"/>
      <c r="N1030" s="72" t="n"/>
      <c r="O1030" s="72" t="n"/>
      <c r="P1030" s="72" t="n"/>
      <c r="Q1030" s="72" t="n"/>
      <c r="T1030" s="72" t="n"/>
      <c r="U1030" s="72" t="n"/>
      <c r="V1030" s="72" t="n"/>
      <c r="W1030" s="72" t="n"/>
      <c r="X1030" s="72" t="n"/>
    </row>
    <row r="1031">
      <c r="A1031" s="71" t="n"/>
      <c r="B1031" s="71" t="n"/>
      <c r="C1031" s="71" t="n"/>
      <c r="D1031" s="71" t="n"/>
      <c r="E1031" s="71" t="n"/>
      <c r="F1031" s="71" t="n"/>
      <c r="G1031" s="71" t="n"/>
      <c r="H1031" s="71" t="n"/>
      <c r="I1031" s="71" t="n"/>
      <c r="J1031" s="71" t="n"/>
      <c r="K1031" s="71" t="n"/>
      <c r="L1031" s="71" t="n"/>
      <c r="M1031" s="71" t="n"/>
      <c r="N1031" s="71" t="n"/>
      <c r="O1031" s="71" t="n"/>
      <c r="P1031" s="71" t="n"/>
      <c r="Q1031" s="71" t="n"/>
      <c r="T1031" s="71" t="n"/>
      <c r="U1031" s="71" t="n"/>
      <c r="V1031" s="71" t="n"/>
      <c r="W1031" s="71" t="n"/>
      <c r="X1031" s="71" t="n"/>
    </row>
    <row r="1032">
      <c r="A1032" s="72" t="n"/>
      <c r="B1032" s="72" t="n"/>
      <c r="C1032" s="72" t="n"/>
      <c r="D1032" s="72" t="n"/>
      <c r="E1032" s="72" t="n"/>
      <c r="F1032" s="72" t="n"/>
      <c r="G1032" s="72" t="n"/>
      <c r="H1032" s="72" t="n"/>
      <c r="I1032" s="72" t="n"/>
      <c r="J1032" s="72" t="n"/>
      <c r="K1032" s="72" t="n"/>
      <c r="L1032" s="72" t="n"/>
      <c r="M1032" s="72" t="n"/>
      <c r="N1032" s="72" t="n"/>
      <c r="O1032" s="72" t="n"/>
      <c r="P1032" s="72" t="n"/>
      <c r="Q1032" s="72" t="n"/>
      <c r="T1032" s="72" t="n"/>
      <c r="U1032" s="72" t="n"/>
      <c r="V1032" s="72" t="n"/>
      <c r="W1032" s="72" t="n"/>
      <c r="X1032" s="72" t="n"/>
    </row>
    <row r="1033">
      <c r="A1033" s="71" t="n"/>
      <c r="B1033" s="71" t="n"/>
      <c r="C1033" s="71" t="n"/>
      <c r="D1033" s="71" t="n"/>
      <c r="E1033" s="71" t="n"/>
      <c r="F1033" s="71" t="n"/>
      <c r="G1033" s="71" t="n"/>
      <c r="H1033" s="71" t="n"/>
      <c r="I1033" s="71" t="n"/>
      <c r="J1033" s="71" t="n"/>
      <c r="K1033" s="71" t="n"/>
      <c r="L1033" s="71" t="n"/>
      <c r="M1033" s="71" t="n"/>
      <c r="N1033" s="71" t="n"/>
      <c r="O1033" s="71" t="n"/>
      <c r="P1033" s="71" t="n"/>
      <c r="Q1033" s="71" t="n"/>
      <c r="T1033" s="71" t="n"/>
      <c r="U1033" s="71" t="n"/>
      <c r="V1033" s="71" t="n"/>
      <c r="W1033" s="71" t="n"/>
      <c r="X1033" s="71" t="n"/>
    </row>
    <row r="1034">
      <c r="A1034" s="72" t="n"/>
      <c r="B1034" s="72" t="n"/>
      <c r="C1034" s="72" t="n"/>
      <c r="D1034" s="72" t="n"/>
      <c r="E1034" s="72" t="n"/>
      <c r="F1034" s="72" t="n"/>
      <c r="G1034" s="72" t="n"/>
      <c r="H1034" s="72" t="n"/>
      <c r="I1034" s="72" t="n"/>
      <c r="J1034" s="72" t="n"/>
      <c r="K1034" s="72" t="n"/>
      <c r="L1034" s="72" t="n"/>
      <c r="M1034" s="72" t="n"/>
      <c r="N1034" s="72" t="n"/>
      <c r="O1034" s="72" t="n"/>
      <c r="P1034" s="72" t="n"/>
      <c r="Q1034" s="72" t="n"/>
      <c r="T1034" s="72" t="n"/>
      <c r="U1034" s="72" t="n"/>
      <c r="V1034" s="72" t="n"/>
      <c r="W1034" s="72" t="n"/>
      <c r="X1034" s="72" t="n"/>
    </row>
    <row r="1035">
      <c r="A1035" s="71" t="n"/>
      <c r="B1035" s="71" t="n"/>
      <c r="C1035" s="71" t="n"/>
      <c r="D1035" s="71" t="n"/>
      <c r="E1035" s="71" t="n"/>
      <c r="F1035" s="71" t="n"/>
      <c r="G1035" s="71" t="n"/>
      <c r="H1035" s="71" t="n"/>
      <c r="I1035" s="71" t="n"/>
      <c r="J1035" s="71" t="n"/>
      <c r="K1035" s="71" t="n"/>
      <c r="L1035" s="71" t="n"/>
      <c r="M1035" s="71" t="n"/>
      <c r="N1035" s="71" t="n"/>
      <c r="O1035" s="71" t="n"/>
      <c r="P1035" s="71" t="n"/>
      <c r="Q1035" s="71" t="n"/>
      <c r="T1035" s="71" t="n"/>
      <c r="U1035" s="71" t="n"/>
      <c r="V1035" s="71" t="n"/>
      <c r="W1035" s="71" t="n"/>
      <c r="X1035" s="71" t="n"/>
    </row>
    <row r="1036">
      <c r="A1036" s="72" t="n"/>
      <c r="B1036" s="72" t="n"/>
      <c r="C1036" s="72" t="n"/>
      <c r="D1036" s="72" t="n"/>
      <c r="E1036" s="72" t="n"/>
      <c r="F1036" s="72" t="n"/>
      <c r="G1036" s="72" t="n"/>
      <c r="H1036" s="72" t="n"/>
      <c r="I1036" s="72" t="n"/>
      <c r="J1036" s="72" t="n"/>
      <c r="K1036" s="72" t="n"/>
      <c r="L1036" s="72" t="n"/>
      <c r="M1036" s="72" t="n"/>
      <c r="N1036" s="72" t="n"/>
      <c r="O1036" s="72" t="n"/>
      <c r="P1036" s="72" t="n"/>
      <c r="Q1036" s="72" t="n"/>
      <c r="T1036" s="72" t="n"/>
      <c r="U1036" s="72" t="n"/>
      <c r="V1036" s="72" t="n"/>
      <c r="W1036" s="72" t="n"/>
      <c r="X1036" s="72" t="n"/>
    </row>
    <row r="1037">
      <c r="A1037" s="71" t="n"/>
      <c r="B1037" s="71" t="n"/>
      <c r="C1037" s="71" t="n"/>
      <c r="D1037" s="71" t="n"/>
      <c r="E1037" s="71" t="n"/>
      <c r="F1037" s="71" t="n"/>
      <c r="G1037" s="71" t="n"/>
      <c r="H1037" s="71" t="n"/>
      <c r="I1037" s="71" t="n"/>
      <c r="J1037" s="71" t="n"/>
      <c r="K1037" s="71" t="n"/>
      <c r="L1037" s="71" t="n"/>
      <c r="M1037" s="71" t="n"/>
      <c r="N1037" s="71" t="n"/>
      <c r="O1037" s="71" t="n"/>
      <c r="P1037" s="71" t="n"/>
      <c r="Q1037" s="71" t="n"/>
      <c r="T1037" s="71" t="n"/>
      <c r="U1037" s="71" t="n"/>
      <c r="V1037" s="71" t="n"/>
      <c r="W1037" s="71" t="n"/>
      <c r="X1037" s="71" t="n"/>
    </row>
    <row r="1038">
      <c r="A1038" s="72" t="n"/>
      <c r="B1038" s="72" t="n"/>
      <c r="C1038" s="72" t="n"/>
      <c r="D1038" s="72" t="n"/>
      <c r="E1038" s="72" t="n"/>
      <c r="F1038" s="72" t="n"/>
      <c r="G1038" s="72" t="n"/>
      <c r="H1038" s="72" t="n"/>
      <c r="I1038" s="72" t="n"/>
      <c r="J1038" s="72" t="n"/>
      <c r="K1038" s="72" t="n"/>
      <c r="L1038" s="72" t="n"/>
      <c r="M1038" s="72" t="n"/>
      <c r="N1038" s="72" t="n"/>
      <c r="O1038" s="72" t="n"/>
      <c r="P1038" s="72" t="n"/>
      <c r="Q1038" s="72" t="n"/>
      <c r="T1038" s="72" t="n"/>
      <c r="U1038" s="72" t="n"/>
      <c r="V1038" s="72" t="n"/>
      <c r="W1038" s="72" t="n"/>
      <c r="X1038" s="72" t="n"/>
    </row>
    <row r="1039">
      <c r="A1039" s="71" t="n"/>
      <c r="B1039" s="71" t="n"/>
      <c r="C1039" s="71" t="n"/>
      <c r="D1039" s="71" t="n"/>
      <c r="E1039" s="71" t="n"/>
      <c r="F1039" s="71" t="n"/>
      <c r="G1039" s="71" t="n"/>
      <c r="H1039" s="71" t="n"/>
      <c r="I1039" s="71" t="n"/>
      <c r="J1039" s="71" t="n"/>
      <c r="K1039" s="71" t="n"/>
      <c r="L1039" s="71" t="n"/>
      <c r="M1039" s="71" t="n"/>
      <c r="N1039" s="71" t="n"/>
      <c r="O1039" s="71" t="n"/>
      <c r="P1039" s="71" t="n"/>
      <c r="Q1039" s="71" t="n"/>
      <c r="T1039" s="71" t="n"/>
      <c r="U1039" s="71" t="n"/>
      <c r="V1039" s="71" t="n"/>
      <c r="W1039" s="71" t="n"/>
      <c r="X1039" s="71" t="n"/>
    </row>
    <row r="1040">
      <c r="A1040" s="72" t="n"/>
      <c r="B1040" s="72" t="n"/>
      <c r="C1040" s="72" t="n"/>
      <c r="D1040" s="72" t="n"/>
      <c r="E1040" s="72" t="n"/>
      <c r="F1040" s="72" t="n"/>
      <c r="G1040" s="72" t="n"/>
      <c r="H1040" s="72" t="n"/>
      <c r="I1040" s="72" t="n"/>
      <c r="J1040" s="72" t="n"/>
      <c r="K1040" s="72" t="n"/>
      <c r="L1040" s="72" t="n"/>
      <c r="M1040" s="72" t="n"/>
      <c r="N1040" s="72" t="n"/>
      <c r="O1040" s="72" t="n"/>
      <c r="P1040" s="72" t="n"/>
      <c r="Q1040" s="72" t="n"/>
      <c r="T1040" s="72" t="n"/>
      <c r="U1040" s="72" t="n"/>
      <c r="V1040" s="72" t="n"/>
      <c r="W1040" s="72" t="n"/>
      <c r="X1040" s="72" t="n"/>
    </row>
    <row r="1041">
      <c r="A1041" s="71" t="n"/>
      <c r="B1041" s="71" t="n"/>
      <c r="C1041" s="71" t="n"/>
      <c r="D1041" s="71" t="n"/>
      <c r="E1041" s="71" t="n"/>
      <c r="F1041" s="71" t="n"/>
      <c r="G1041" s="71" t="n"/>
      <c r="H1041" s="71" t="n"/>
      <c r="I1041" s="71" t="n"/>
      <c r="J1041" s="71" t="n"/>
      <c r="K1041" s="71" t="n"/>
      <c r="L1041" s="71" t="n"/>
      <c r="M1041" s="71" t="n"/>
      <c r="N1041" s="71" t="n"/>
      <c r="O1041" s="71" t="n"/>
      <c r="P1041" s="71" t="n"/>
      <c r="Q1041" s="71" t="n"/>
      <c r="T1041" s="71" t="n"/>
      <c r="U1041" s="71" t="n"/>
      <c r="V1041" s="71" t="n"/>
      <c r="W1041" s="71" t="n"/>
      <c r="X1041" s="71" t="n"/>
    </row>
    <row r="1042">
      <c r="A1042" s="72" t="n"/>
      <c r="B1042" s="72" t="n"/>
      <c r="C1042" s="72" t="n"/>
      <c r="D1042" s="72" t="n"/>
      <c r="E1042" s="72" t="n"/>
      <c r="F1042" s="72" t="n"/>
      <c r="G1042" s="72" t="n"/>
      <c r="H1042" s="72" t="n"/>
      <c r="I1042" s="72" t="n"/>
      <c r="J1042" s="72" t="n"/>
      <c r="K1042" s="72" t="n"/>
      <c r="L1042" s="72" t="n"/>
      <c r="M1042" s="72" t="n"/>
      <c r="N1042" s="72" t="n"/>
      <c r="O1042" s="72" t="n"/>
      <c r="P1042" s="72" t="n"/>
      <c r="Q1042" s="72" t="n"/>
      <c r="T1042" s="72" t="n"/>
      <c r="U1042" s="72" t="n"/>
      <c r="V1042" s="72" t="n"/>
      <c r="W1042" s="72" t="n"/>
      <c r="X1042" s="72" t="n"/>
    </row>
    <row r="1043">
      <c r="A1043" s="71" t="n"/>
      <c r="B1043" s="71" t="n"/>
      <c r="C1043" s="71" t="n"/>
      <c r="D1043" s="71" t="n"/>
      <c r="E1043" s="71" t="n"/>
      <c r="F1043" s="71" t="n"/>
      <c r="G1043" s="71" t="n"/>
      <c r="H1043" s="71" t="n"/>
      <c r="I1043" s="71" t="n"/>
      <c r="J1043" s="71" t="n"/>
      <c r="K1043" s="71" t="n"/>
      <c r="L1043" s="71" t="n"/>
      <c r="M1043" s="71" t="n"/>
      <c r="N1043" s="71" t="n"/>
      <c r="O1043" s="71" t="n"/>
      <c r="P1043" s="71" t="n"/>
      <c r="Q1043" s="71" t="n"/>
      <c r="T1043" s="71" t="n"/>
      <c r="U1043" s="71" t="n"/>
      <c r="V1043" s="71" t="n"/>
      <c r="W1043" s="71" t="n"/>
      <c r="X1043" s="71" t="n"/>
    </row>
    <row r="1044">
      <c r="A1044" s="72" t="n"/>
      <c r="B1044" s="72" t="n"/>
      <c r="C1044" s="72" t="n"/>
      <c r="D1044" s="72" t="n"/>
      <c r="E1044" s="72" t="n"/>
      <c r="F1044" s="72" t="n"/>
      <c r="G1044" s="72" t="n"/>
      <c r="H1044" s="72" t="n"/>
      <c r="I1044" s="72" t="n"/>
      <c r="J1044" s="72" t="n"/>
      <c r="K1044" s="72" t="n"/>
      <c r="L1044" s="72" t="n"/>
      <c r="M1044" s="72" t="n"/>
      <c r="N1044" s="72" t="n"/>
      <c r="O1044" s="72" t="n"/>
      <c r="P1044" s="72" t="n"/>
      <c r="Q1044" s="72" t="n"/>
      <c r="T1044" s="72" t="n"/>
      <c r="U1044" s="72" t="n"/>
      <c r="V1044" s="72" t="n"/>
      <c r="W1044" s="72" t="n"/>
      <c r="X1044" s="72" t="n"/>
    </row>
    <row r="1045">
      <c r="A1045" s="71" t="n"/>
      <c r="B1045" s="71" t="n"/>
      <c r="C1045" s="71" t="n"/>
      <c r="D1045" s="71" t="n"/>
      <c r="E1045" s="71" t="n"/>
      <c r="F1045" s="71" t="n"/>
      <c r="G1045" s="71" t="n"/>
      <c r="H1045" s="71" t="n"/>
      <c r="I1045" s="71" t="n"/>
      <c r="J1045" s="71" t="n"/>
      <c r="K1045" s="71" t="n"/>
      <c r="L1045" s="71" t="n"/>
      <c r="M1045" s="71" t="n"/>
      <c r="N1045" s="71" t="n"/>
      <c r="O1045" s="71" t="n"/>
      <c r="P1045" s="71" t="n"/>
      <c r="Q1045" s="71" t="n"/>
      <c r="T1045" s="71" t="n"/>
      <c r="U1045" s="71" t="n"/>
      <c r="V1045" s="71" t="n"/>
      <c r="W1045" s="71" t="n"/>
      <c r="X1045" s="71" t="n"/>
    </row>
    <row r="1046">
      <c r="A1046" s="72" t="n"/>
      <c r="B1046" s="72" t="n"/>
      <c r="C1046" s="72" t="n"/>
      <c r="D1046" s="72" t="n"/>
      <c r="E1046" s="72" t="n"/>
      <c r="F1046" s="72" t="n"/>
      <c r="G1046" s="72" t="n"/>
      <c r="H1046" s="72" t="n"/>
      <c r="I1046" s="72" t="n"/>
      <c r="J1046" s="72" t="n"/>
      <c r="K1046" s="72" t="n"/>
      <c r="L1046" s="72" t="n"/>
      <c r="M1046" s="72" t="n"/>
      <c r="N1046" s="72" t="n"/>
      <c r="O1046" s="72" t="n"/>
      <c r="P1046" s="72" t="n"/>
      <c r="Q1046" s="72" t="n"/>
      <c r="T1046" s="72" t="n"/>
      <c r="U1046" s="72" t="n"/>
      <c r="V1046" s="72" t="n"/>
      <c r="W1046" s="72" t="n"/>
      <c r="X1046" s="72" t="n"/>
    </row>
    <row r="1047">
      <c r="A1047" s="71" t="n"/>
      <c r="B1047" s="71" t="n"/>
      <c r="C1047" s="71" t="n"/>
      <c r="D1047" s="71" t="n"/>
      <c r="E1047" s="71" t="n"/>
      <c r="F1047" s="71" t="n"/>
      <c r="G1047" s="71" t="n"/>
      <c r="H1047" s="71" t="n"/>
      <c r="I1047" s="71" t="n"/>
      <c r="J1047" s="71" t="n"/>
      <c r="K1047" s="71" t="n"/>
      <c r="L1047" s="71" t="n"/>
      <c r="M1047" s="71" t="n"/>
      <c r="N1047" s="71" t="n"/>
      <c r="O1047" s="71" t="n"/>
      <c r="P1047" s="71" t="n"/>
      <c r="Q1047" s="71" t="n"/>
      <c r="T1047" s="71" t="n"/>
      <c r="U1047" s="71" t="n"/>
      <c r="V1047" s="71" t="n"/>
      <c r="W1047" s="71" t="n"/>
      <c r="X1047" s="71" t="n"/>
    </row>
    <row r="1048">
      <c r="A1048" s="72" t="n"/>
      <c r="B1048" s="72" t="n"/>
      <c r="C1048" s="72" t="n"/>
      <c r="D1048" s="72" t="n"/>
      <c r="E1048" s="72" t="n"/>
      <c r="F1048" s="72" t="n"/>
      <c r="G1048" s="72" t="n"/>
      <c r="H1048" s="72" t="n"/>
      <c r="I1048" s="72" t="n"/>
      <c r="J1048" s="72" t="n"/>
      <c r="K1048" s="72" t="n"/>
      <c r="L1048" s="72" t="n"/>
      <c r="M1048" s="72" t="n"/>
      <c r="N1048" s="72" t="n"/>
      <c r="O1048" s="72" t="n"/>
      <c r="P1048" s="72" t="n"/>
      <c r="Q1048" s="72" t="n"/>
      <c r="T1048" s="72" t="n"/>
      <c r="U1048" s="72" t="n"/>
      <c r="V1048" s="72" t="n"/>
      <c r="W1048" s="72" t="n"/>
      <c r="X1048" s="72" t="n"/>
    </row>
    <row r="1049">
      <c r="A1049" s="71" t="n"/>
      <c r="B1049" s="71" t="n"/>
      <c r="C1049" s="71" t="n"/>
      <c r="D1049" s="71" t="n"/>
      <c r="E1049" s="71" t="n"/>
      <c r="F1049" s="71" t="n"/>
      <c r="G1049" s="71" t="n"/>
      <c r="H1049" s="71" t="n"/>
      <c r="I1049" s="71" t="n"/>
      <c r="J1049" s="71" t="n"/>
      <c r="K1049" s="71" t="n"/>
      <c r="L1049" s="71" t="n"/>
      <c r="M1049" s="71" t="n"/>
      <c r="N1049" s="71" t="n"/>
      <c r="O1049" s="71" t="n"/>
      <c r="P1049" s="71" t="n"/>
      <c r="Q1049" s="71" t="n"/>
      <c r="T1049" s="71" t="n"/>
      <c r="U1049" s="71" t="n"/>
      <c r="V1049" s="71" t="n"/>
      <c r="W1049" s="71" t="n"/>
      <c r="X1049" s="71" t="n"/>
    </row>
    <row r="1050">
      <c r="A1050" s="72" t="n"/>
      <c r="B1050" s="72" t="n"/>
      <c r="C1050" s="72" t="n"/>
      <c r="D1050" s="72" t="n"/>
      <c r="E1050" s="72" t="n"/>
      <c r="F1050" s="72" t="n"/>
      <c r="G1050" s="72" t="n"/>
      <c r="H1050" s="72" t="n"/>
      <c r="I1050" s="72" t="n"/>
      <c r="J1050" s="72" t="n"/>
      <c r="K1050" s="72" t="n"/>
      <c r="L1050" s="72" t="n"/>
      <c r="M1050" s="72" t="n"/>
      <c r="N1050" s="72" t="n"/>
      <c r="O1050" s="72" t="n"/>
      <c r="P1050" s="72" t="n"/>
      <c r="Q1050" s="72" t="n"/>
      <c r="T1050" s="72" t="n"/>
      <c r="U1050" s="72" t="n"/>
      <c r="V1050" s="72" t="n"/>
      <c r="W1050" s="72" t="n"/>
      <c r="X1050" s="72" t="n"/>
    </row>
    <row r="1051">
      <c r="A1051" s="71" t="n"/>
      <c r="B1051" s="71" t="n"/>
      <c r="C1051" s="71" t="n"/>
      <c r="D1051" s="71" t="n"/>
      <c r="E1051" s="71" t="n"/>
      <c r="F1051" s="71" t="n"/>
      <c r="G1051" s="71" t="n"/>
      <c r="H1051" s="71" t="n"/>
      <c r="I1051" s="71" t="n"/>
      <c r="J1051" s="71" t="n"/>
      <c r="K1051" s="71" t="n"/>
      <c r="L1051" s="71" t="n"/>
      <c r="M1051" s="71" t="n"/>
      <c r="N1051" s="71" t="n"/>
      <c r="O1051" s="71" t="n"/>
      <c r="P1051" s="71" t="n"/>
      <c r="Q1051" s="71" t="n"/>
      <c r="T1051" s="71" t="n"/>
      <c r="U1051" s="71" t="n"/>
      <c r="V1051" s="71" t="n"/>
      <c r="W1051" s="71" t="n"/>
      <c r="X1051" s="71" t="n"/>
    </row>
  </sheetData>
  <autoFilter ref="$A$1:$X$19">
    <filterColumn colId="8" hiddenButton="0" showButton="1">
      <filters/>
    </filterColumn>
  </autoFilter>
  <dataValidations count="1">
    <dataValidation sqref="A2:A311" showDropDown="0" showInputMessage="0" showErrorMessage="0" allowBlank="1" type="list">
      <formula1>"resource,logistics,use,business,sale,service,reverse,recovery"</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X1043"/>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10.13" customWidth="1" style="76" min="1" max="1"/>
    <col width="5.63" customWidth="1" style="76" min="2" max="2"/>
    <col width="16.63" customWidth="1" style="76" min="3" max="3"/>
    <col width="22.38" customWidth="1" style="76" min="4" max="4"/>
    <col width="23.75" customWidth="1" style="76" min="5" max="5"/>
    <col width="31.38" customWidth="1" style="76" min="6" max="8"/>
    <col width="33.38" customWidth="1" style="76" min="9" max="9"/>
    <col width="22.75" customWidth="1" style="76" min="10" max="10"/>
    <col width="35.13" customWidth="1" style="76" min="11" max="11"/>
    <col width="24" customWidth="1" style="76" min="12" max="12"/>
    <col width="16.13" customWidth="1" style="76" min="13" max="13"/>
    <col width="23.63" customWidth="1" style="76" min="14" max="14"/>
    <col width="17.5" customWidth="1" style="76" min="15" max="15"/>
    <col width="17.75" customWidth="1" style="76" min="16" max="16"/>
    <col width="51" customWidth="1" style="76" min="17" max="17"/>
  </cols>
  <sheetData>
    <row r="1">
      <c r="A1" s="1" t="inlineStr">
        <is>
          <t>TYPE</t>
        </is>
      </c>
      <c r="B1" s="1" t="inlineStr">
        <is>
          <t>ID</t>
        </is>
      </c>
      <c r="C1" s="1" t="inlineStr">
        <is>
          <t>X1</t>
        </is>
      </c>
      <c r="D1" s="1" t="inlineStr">
        <is>
          <t>X2</t>
        </is>
      </c>
      <c r="E1" s="1" t="inlineStr">
        <is>
          <t>X3</t>
        </is>
      </c>
      <c r="F1" s="1" t="inlineStr">
        <is>
          <t>AUTHOR_ID</t>
        </is>
      </c>
      <c r="G1" s="1" t="inlineStr">
        <is>
          <t>SCIENTIFIC SATURATION</t>
        </is>
      </c>
      <c r="H1" s="1" t="inlineStr">
        <is>
          <t>HOW</t>
        </is>
      </c>
      <c r="I1" s="1" t="inlineStr">
        <is>
          <t>WHY</t>
        </is>
      </c>
      <c r="J1" s="1" t="inlineStr">
        <is>
          <t>USE</t>
        </is>
      </c>
      <c r="K1" s="1" t="inlineStr">
        <is>
          <t>CHARACTERISTICS</t>
        </is>
      </c>
      <c r="L1" s="1" t="inlineStr">
        <is>
          <t>QUESTIONS TO ANSWER</t>
        </is>
      </c>
      <c r="M1" s="1" t="inlineStr">
        <is>
          <t>CASE_STUDY_ID</t>
        </is>
      </c>
      <c r="N1" s="28" t="inlineStr">
        <is>
          <t>REFERENCES</t>
        </is>
      </c>
      <c r="O1" s="27" t="inlineStr">
        <is>
          <t>PRODUCT-TAGS</t>
        </is>
      </c>
      <c r="P1" s="28" t="inlineStr">
        <is>
          <t>CIRCULARITY_INDEX</t>
        </is>
      </c>
      <c r="Q1" s="28" t="inlineStr">
        <is>
          <t>DFX_RELATIONSHIP</t>
        </is>
      </c>
      <c r="R1" s="28" t="inlineStr">
        <is>
          <t>LOOP</t>
        </is>
      </c>
      <c r="S1" s="28" t="inlineStr">
        <is>
          <t>APPLIES_TO</t>
        </is>
      </c>
      <c r="T1" s="28" t="inlineStr">
        <is>
          <t>HIDDEN_USER</t>
        </is>
      </c>
      <c r="U1" s="28" t="inlineStr">
        <is>
          <t>HIDDEN_LAST_UPDATE</t>
        </is>
      </c>
      <c r="V1" s="28" t="n"/>
      <c r="W1" s="28" t="n"/>
      <c r="X1" s="28" t="n"/>
    </row>
    <row r="2" ht="75" customHeight="1" s="76">
      <c r="A2" s="21" t="inlineStr">
        <is>
          <t>business</t>
        </is>
      </c>
      <c r="B2" s="21" t="n">
        <v>81</v>
      </c>
      <c r="C2" s="21" t="inlineStr">
        <is>
          <t>Df Remanufacturing</t>
        </is>
      </c>
      <c r="D2" s="21" t="inlineStr">
        <is>
          <t>Df Remanufacturing</t>
        </is>
      </c>
      <c r="E2" s="21" t="inlineStr">
        <is>
          <t>Df Remanufacturing</t>
        </is>
      </c>
      <c r="F2" s="21" t="n">
        <v>1</v>
      </c>
      <c r="G2" s="21" t="n"/>
      <c r="H2" s="21" t="inlineStr">
        <is>
          <t>Design for remanufacturing is product design that facilitates any of the step involved in remanufacturing. The objective of the design for remanufacturing (DfRem) is to enhance the remanufacturability of the product. DfRem is not a single task, but there are many factors which have to be considered simultaneously. Depending upon the product specification and the properties the designer has to prioritization to the tasks to improve the product recovery through the remanufacturing. Product features and characteristics of the product always affect the remanufacturability of the product as well as the profitability in the business. There are some technical factors which contribute to develop the methods and tools in the design for remanufacturing for the ease of the process of remanufacturing. When the product is not specifically designed for remanufacturing, it is very difficult and costly to recover items from disassemblies and profitability will depend on that. 
Some of the features that influence the remanufacturing process to have a negative impact on another activity. For example, environmental legislation forcing the manufacturer to reduce waste and recover product material gives the positive impact for designing a product for remanufacturing on other hand bans for some material or contain the product cannot be reintroduced in the market means not to be remanufactured. Some parameters are beyond the designer control like demand, fashion and manufacturers prohibitive activities. Still, there are some characteristics of the product that helps the designer while designing the product for facilitating the remanufacturing. If the product life is too long technology may be upgraded at the end of the product in this case subassemblies of the product can be remanufactured of designed accordingly. Some products have relatively static design and low technology change facilitates the designer to design better ways. Cascading of two life cycle of the product in two different markets of developed and underdeveloped countries are also facilities the remanufacturing. Generally, products are designed for the functionality and cost at the expense of environmental issues is not suitable for the remanufacturing. It is the necessity of the globe to develop the techniques based on the end of life management as many of the products are designed up to date without considering recovery strategy and serious environmental concerns.</t>
        </is>
      </c>
      <c r="I2" s="21" t="inlineStr">
        <is>
          <t>Remanufacturing is the only end-of-life strategy where used products are returned to like-new condition.  From the customer’s perspective, remanufactured products are difficult to perceive and they have the same warranties as new products. Remanufacturing uses higher content of work compared to the refurbishment processes, resulting in superior consistency and efficiency in its goods. Remanufactured goods undergo significant changes, although repaired and refurbished products maintain their identity. This is because all commodity parts are tested through remanufacturing, and those that can not be restored to original performance specifications are replaced with new ones. The newly remanufactured product will then be made up of these mixed parts. Remanufacturing is important because researchers have shown that it is an economically significant industrial activity. Remanufacturing is particularly applicable to high-quality products where the reverse industrial practice makes economical sense. Also, this process is reputed to lead to increased profit and creates a demand for skilled employment.</t>
        </is>
      </c>
      <c r="J2" s="21" t="inlineStr">
        <is>
          <t>Design for Remanufacturing is most applicable to durable, high-value products where the cost of remanufacturing is significantly lower than manufacturing new. Typical product categories include automotive components (engines, transmissions, alternators), heavy machinery and industrial equipment, medical devices, aerospace parts, office equipment (printers, copiers), and consumer electronics. The designer should evaluate whether the product has a stable core structure that retains value after use, whether market demand exists for remanufactured versions, and whether the technology lifecycle is long enough to justify multiple loops. Products with rapid technological obsolescence (e.g. smartphones) may be less suited unless modular upgradeability is designed in.</t>
        </is>
      </c>
      <c r="K2" s="21" t="inlineStr">
        <is>
          <t>There are some key issues in designing the products for remanufacturing for reconditioning the product at least like-new condition: 
1. Non-durable material that may break during recovery or may be deteriorated during the first life cycle.
2. Joining methods which prevent the separation in disassembly operation.
3. Features of the product restrict the up-gradation or require banned substance or processing methods or may be costly affair to recover.</t>
        </is>
      </c>
      <c r="L2" s="21" t="inlineStr">
        <is>
          <t>• What is the expected number of lifecycle loops for this product?
• Which components are most likely to degrade and need replacement during remanufacturing?
• Is the product architecture designed to facilitate disassembly, cleaning, inspection, and reassembly?
• What quality standards must the remanufactured product meet to be equivalent to new?
• How will the reverse supply chain be structured to collect used products?
• What is the cost-benefit ratio of remanufacturing versus manufacturing new?</t>
        </is>
      </c>
      <c r="M2" s="21" t="n">
        <v>86</v>
      </c>
      <c r="N2" s="21" t="inlineStr">
        <is>
          <t>Ijomah, W. L., McMahon, C. A., Hammond, G. P., &amp; Newman, S. T. (2007). Development of design for remanufacturing guidelines to support sustainable manufacturing. Robotics and Computer-Integrated Manufacturing, 23(6), 712–719.
Hatcher, G. D., Ijomah, W. L., &amp; Windmill, J. F. C. (2011). Design for remanufacture: A literature review and future research needs. Journal of Cleaner Production, 19(17–18), 2004–2014.
Sundin, E. (2004). Product and Process Design for Successful Remanufacturing. PhD thesis, Linköping University.
King, A. M., Burgess, S. C., Ijomah, W., &amp; McMahon, C. A. (2006). Reducing waste: Repair, recondition, remanufacture or recycle? Sustainable Development, 14(4), 257–267.</t>
        </is>
      </c>
      <c r="O2" s="21" t="n"/>
      <c r="P2" s="21" t="n">
        <v>1</v>
      </c>
      <c r="Q2" s="21" t="n"/>
      <c r="R2" s="21" t="inlineStr">
        <is>
          <t>LOOP 1,LOOP N</t>
        </is>
      </c>
      <c r="S2" s="21" t="inlineStr">
        <is>
          <t>Components,Products,Systems</t>
        </is>
      </c>
      <c r="T2" s="21" t="inlineStr">
        <is>
          <t>tecsof@gmail.com</t>
        </is>
      </c>
      <c r="U2" s="21" t="inlineStr">
        <is>
          <t>Sun Nov 15 2020 20:50:00 GMT+0000 (Greenwich Mean Time)</t>
        </is>
      </c>
      <c r="V2" s="21" t="n"/>
      <c r="W2" s="21" t="n"/>
      <c r="X2" s="21" t="n"/>
    </row>
    <row r="3" ht="75" customHeight="1" s="76">
      <c r="A3" s="21" t="inlineStr">
        <is>
          <t>business</t>
        </is>
      </c>
      <c r="B3" s="21" t="n">
        <v>82</v>
      </c>
      <c r="C3" s="21" t="inlineStr">
        <is>
          <t>Df Remanufacturing</t>
        </is>
      </c>
      <c r="D3" s="21" t="inlineStr">
        <is>
          <t>Df Circular Business Model</t>
        </is>
      </c>
      <c r="E3" s="21" t="inlineStr">
        <is>
          <t>Df Circular Business Model</t>
        </is>
      </c>
      <c r="F3" s="21" t="n">
        <v>1</v>
      </c>
      <c r="G3" s="21" t="n"/>
      <c r="H3" s="21" t="inlineStr">
        <is>
          <t>In a remanufacturing context, a circular business model requires the company to design the entire value chain around product recovery. This involves structuring the business to retain ownership or maintain take-back agreements, designing products for multiple lifecycles, and creating service offerings that generate revenue from each loop. The business model must integrate reverse logistics, quality assurance for remanufactured goods, and customer communication strategies that build trust in remanufactured products.</t>
        </is>
      </c>
      <c r="I3" s="21" t="inlineStr">
        <is>
          <t xml:space="preserve">In a perfect circular economy, a company have to create a value and be able to recapture and resell it for as many times as possible. The business is based on maintaining the value in the best possible conditions over multiple cycles through superior design. </t>
        </is>
      </c>
      <c r="J3" s="21" t="inlineStr">
        <is>
          <t>This strategy applies to companies transitioning from a linear sell-and-forget model to one where products are designed to return. It is particularly relevant for B2B contexts where products are leased or offered as a service (e.g. heavy machinery, medical equipment, office furniture). The designer should work closely with business strategists to ensure the product architecture supports the chosen business model — for instance, if leasing is planned, the product must be robust enough to endure multiple users while remaining economically viable to remanufacture.</t>
        </is>
      </c>
      <c r="K3" s="21" t="inlineStr">
        <is>
          <t>A circular business model for remanufacturing typically involves: retained product ownership by the manufacturer or service provider; revenue generation through service contracts, leasing, or pay-per-use; investment in reverse logistics infrastructure; quality guarantees equivalent to new products; and strong customer relationship management to facilitate product return and repeat engagement.</t>
        </is>
      </c>
      <c r="L3" s="21" t="inlineStr">
        <is>
          <t>• Which circular business model best supports the remanufacturing of our product: leasing, sharing, or pay-per-use?
• How will we recover products at end of use — through buy-back, deposit schemes, or contractual return?
• What is the total cost of ownership across multiple lifecycles, and how does it compare to a linear model?
• How can we communicate the value of remanufactured products to customers?
• What partnerships are needed to support the reverse supply chain?</t>
        </is>
      </c>
      <c r="M3" s="21" t="n">
        <v>1</v>
      </c>
      <c r="N3" s="21" t="inlineStr">
        <is>
          <t>Linder, M., &amp; Williander, M. (2017). Circular business model innovation: Inherent uncertainties. Business Strategy and the Environment, 26(2), 182–196.
Bocken, N. M. P., de Pauw, I., Bakker, C., &amp; van der Grinten, B. (2016). Product design and business model strategies for a circular economy. Journal of Industrial and Production Engineering, 33(5), 308–320.
Guldmann, E. (2014). Best practice examples of circular business models. World, 20.</t>
        </is>
      </c>
      <c r="O3" s="21" t="n"/>
      <c r="P3" s="21" t="n">
        <v>1</v>
      </c>
      <c r="Q3" s="21" t="inlineStr">
        <is>
          <t>Df Product Leasing,Df Product Sharing,Df Collaborative Consumption,Df Local Material Extraction,Df Failure</t>
        </is>
      </c>
      <c r="R3" s="21" t="inlineStr">
        <is>
          <t>LOOP 1,LOOP N,LAST LOOP</t>
        </is>
      </c>
      <c r="S3" s="21" t="inlineStr">
        <is>
          <t>Products,Processes,Systems</t>
        </is>
      </c>
      <c r="T3" s="21" t="n"/>
      <c r="U3" s="21" t="n"/>
      <c r="V3" s="21" t="n"/>
      <c r="W3" s="21" t="n"/>
      <c r="X3" s="74" t="n"/>
    </row>
    <row r="4" ht="75" customHeight="1" s="76">
      <c r="A4" s="21" t="inlineStr">
        <is>
          <t>business</t>
        </is>
      </c>
      <c r="B4" s="21" t="n">
        <v>83</v>
      </c>
      <c r="C4" s="21" t="inlineStr">
        <is>
          <t>Df Remanufacturing</t>
        </is>
      </c>
      <c r="D4" s="21" t="inlineStr">
        <is>
          <t>Df Circular Business Model</t>
        </is>
      </c>
      <c r="E4" s="21" t="inlineStr">
        <is>
          <t>Df Product Leasing</t>
        </is>
      </c>
      <c r="F4" s="21" t="n">
        <v>1</v>
      </c>
      <c r="G4" s="21" t="n"/>
      <c r="H4" s="21" t="inlineStr">
        <is>
          <t>In a product leasing model for remanufacturing, the manufacturer retains ownership and leases the product to the user for a defined period. At the end of the lease, the product is returned, remanufactured to original specifications, and leased again. The designer should focus on creating products with high durability, ease of disassembly, and modular upgradeability so that the product can be cost-effectively restored to like-new condition between lease cycles. The lease contract itself should include provisions for maintenance, repair, and return conditions.</t>
        </is>
      </c>
      <c r="I4" s="21" t="inlineStr">
        <is>
          <t>In the long-term strategy, the user wants to use a high quality product that does not require a capital up front payment. The benefit of this configuration for the user always is a flexible system with zero risk, status symbol without high investments and upgradability of the product free of charge or below the market price. The benifits of the provider, after an initial investment, concern with the maintaining of the value, providing new and different services with the product and the possibility to build stronger brand, product and customer loyalty.
Product leasing may result in highly weared out products after use. Designers should take into consideration such downside of the service products by designing high nquality product that are able to be reused multiple times. The main aim is to work on robust structure of the product and facilitate the replacement of spare parts to keeping the product in the market for as much loops as possible.</t>
        </is>
      </c>
      <c r="J4" s="21" t="inlineStr">
        <is>
          <t>The potential products that can be considered in this category are long-lasting products. In order to evaluate the viability of the long-term leasing the designer should evaluate the present market, understand the target and why the consumers would prefer a long-term leasing rather than own a product. The challange here is to maintain the quality of the product toward multiple consumers.</t>
        </is>
      </c>
      <c r="K4" s="21" t="inlineStr">
        <is>
          <t>In the Long-term leasing the provider maintain the ownership of the product. The main objectives of provider sees not only the provision of  the product on the market, but also the possibility to provid pther comprehensive optional services (such as insurance, reparing, replacement of degradable parts).</t>
        </is>
      </c>
      <c r="L4" s="21" t="inlineStr">
        <is>
          <t>Would users be willing to rent our product with a long-term contract? Which additional service could be combined with the product or service to generate more revenue? What should I change about the design of my product to make it last for many life cycles?</t>
        </is>
      </c>
      <c r="M4" s="21" t="n">
        <v>84</v>
      </c>
      <c r="N4" s="21" t="inlineStr">
        <is>
          <t>Tukker, A. (2004). Eight types of product–service system: Eight ways to sustainability? Experiences from SusProNet. Business Strategy and the Environment, 13(4), 246–260. https://doi.org/10.1002/bse.414
Vezzoli, C. A., &amp; Manzini, E. (2008). Design for Environmental Sustainability (2008 edition). Berlin ; London: Springer.
Stahel, W. (2010). The Performance Economy. Palgrave Macmillan UK.
Ceschin, F. (2014). Sustainable Product-Service Systems: Between Strategic Design and Transition Studies.</t>
        </is>
      </c>
      <c r="O4" s="21" t="n"/>
      <c r="P4" s="21" t="n">
        <v>1</v>
      </c>
      <c r="Q4" s="21" t="n"/>
      <c r="R4" s="21" t="inlineStr">
        <is>
          <t>LOOP 1,LOOP N,LAST LOOP</t>
        </is>
      </c>
      <c r="S4" s="21" t="inlineStr">
        <is>
          <t>Products</t>
        </is>
      </c>
      <c r="T4" s="21" t="inlineStr">
        <is>
          <t>tecsof@gmail.com</t>
        </is>
      </c>
      <c r="U4" s="21" t="inlineStr">
        <is>
          <t>Sun Nov 15 2020 20:51:40 GMT+0000 (Greenwich Mean Time)</t>
        </is>
      </c>
      <c r="V4" s="21" t="n"/>
      <c r="W4" s="21" t="n"/>
      <c r="X4" s="74" t="n"/>
    </row>
    <row r="5" ht="75" customHeight="1" s="76">
      <c r="A5" s="21" t="inlineStr">
        <is>
          <t>business</t>
        </is>
      </c>
      <c r="B5" s="21" t="n">
        <v>84</v>
      </c>
      <c r="C5" s="21" t="inlineStr">
        <is>
          <t>Df Remanufacturing</t>
        </is>
      </c>
      <c r="D5" s="21" t="inlineStr">
        <is>
          <t>Df Circular Business Model</t>
        </is>
      </c>
      <c r="E5" s="21" t="inlineStr">
        <is>
          <t>Df Product Sharing</t>
        </is>
      </c>
      <c r="F5" s="21" t="n">
        <v>1</v>
      </c>
      <c r="G5" s="21" t="n"/>
      <c r="H5" s="21" t="inlineStr">
        <is>
          <t>In a product sharing model for remanufacturing, the product is used by multiple users sequentially or simultaneously, and is periodically remanufactured to restore it to optimal condition. The designer must account for higher wear rates due to multiple users and design for robustness, ease of cleaning, and rapid component replacement. The sharing platform or provider manages the scheduling, maintenance, and periodic remanufacturing cycles.</t>
        </is>
      </c>
      <c r="I5" s="21" t="inlineStr">
        <is>
          <t xml:space="preserve">In this strategy, the property of the product is retained by the provider and the user is allowed to use the product for a short time. The customer is charged for each use of the product. In this strategy, multiple users can use the product one after another. For this reason, products in this category can become quickly wear if not robust. </t>
        </is>
      </c>
      <c r="J5" s="21" t="inlineStr">
        <is>
          <t>Product sharing in a remanufacturing context is best suited to high-value products that are underutilised by individual owners — for example, construction equipment, specialised tools, vehicles, or high-end appliances. The product must be designed to withstand frequent use transitions and maintain performance standards across multiple users. Designers should consider user-facing interfaces that are intuitive and damage-resistant.</t>
        </is>
      </c>
      <c r="K5" s="21" t="inlineStr">
        <is>
          <t>Products designed for sharing in a remanufacturing context should be robust and resistant to heavy or varied use patterns; easy to clean, sanitise, and restore between users; equipped with monitoring systems to track usage and condition; designed with replaceable wear components; and visually neutral to appeal to diverse user groups.</t>
        </is>
      </c>
      <c r="L5" s="21" t="inlineStr">
        <is>
          <t>In which way we can create profit as a business by selling products to be shared? 
Would the user be willing to use the product or service for a limited time? Which additional service could be combined with the product or service to generate more revenue?</t>
        </is>
      </c>
      <c r="M5" s="21" t="n">
        <v>3</v>
      </c>
      <c r="N5" s="21" t="inlineStr">
        <is>
          <t xml:space="preserve">Tukker, A. (2004). Eight types of product–service system: Eight ways to sustainability? Experiences from SusProNet. Business Strategy and the Environment, 13(4), 246–260.
Ceschin, F. (2014). Sustainable Product-Service Systems: Between Strategic Design and Transition Studies. </t>
        </is>
      </c>
      <c r="O5" s="21" t="n"/>
      <c r="P5" s="21" t="n">
        <v>1</v>
      </c>
      <c r="Q5" s="21" t="n"/>
      <c r="R5" s="21" t="inlineStr">
        <is>
          <t>LOOP 1,LOOP N,LAST LOOP</t>
        </is>
      </c>
      <c r="S5" s="21" t="inlineStr">
        <is>
          <t>Products,Systems</t>
        </is>
      </c>
      <c r="T5" s="21" t="n"/>
      <c r="U5" s="21" t="n"/>
      <c r="V5" s="21" t="n"/>
      <c r="W5" s="21" t="n"/>
      <c r="X5" s="74" t="n"/>
    </row>
    <row r="6" ht="75" customHeight="1" s="76">
      <c r="A6" s="21" t="inlineStr">
        <is>
          <t>business</t>
        </is>
      </c>
      <c r="B6" s="21" t="n">
        <v>85</v>
      </c>
      <c r="C6" s="21" t="inlineStr">
        <is>
          <t>Df Remanufacturing</t>
        </is>
      </c>
      <c r="D6" s="21" t="inlineStr">
        <is>
          <t>Df Circular Business Model</t>
        </is>
      </c>
      <c r="E6" s="21" t="inlineStr">
        <is>
          <t>Df Collaborative Consumption</t>
        </is>
      </c>
      <c r="F6" s="21" t="n">
        <v>1</v>
      </c>
      <c r="G6" s="21" t="n"/>
      <c r="H6" s="21" t="inlineStr">
        <is>
          <t>In a collaborative consumption model for remanufacturing, the product is shared between multiple users who split the cost. The remanufacturing process is triggered either at defined intervals or when the product reaches a certain condition threshold. The designer should focus on creating products that can serve multiple users equitably, incorporate usage tracking to determine remanufacturing timing, and support easy redistribution between users.</t>
        </is>
      </c>
      <c r="I6" s="21" t="inlineStr">
        <is>
          <t>In this strategy, the property of the product can be retained by the provider or by a private individual. The product or the service is used simultaneously between multiple customers and the cost is shareed equally.</t>
        </is>
      </c>
      <c r="J6" s="21" t="inlineStr">
        <is>
          <t>Collaborative consumption for remanufactured products works well in community-based contexts: neighbourhood tool libraries, co-working equipment pools, shared agricultural machinery, or community energy systems. The designer should evaluate whether the product can be effectively shared without significant loss of convenience, and whether the remanufacturing cycle can be synchronised with usage patterns.</t>
        </is>
      </c>
      <c r="K6" s="21" t="inlineStr">
        <is>
          <t>Products in collaborative consumption models should feature: built-in usage monitoring to track wear across multiple users; robust construction to handle varied use patterns; modular design enabling partial remanufacturing without full product recall; clear visual indicators of product condition; and compatibility with digital platforms for booking and coordination.</t>
        </is>
      </c>
      <c r="L6" s="21" t="inlineStr">
        <is>
          <t>In which way it is possible to create profit by selling products to be shared between people? 
Would users be willing to use the product or service with others? Which additional service could be combined with the product or service to generate more revenue?</t>
        </is>
      </c>
      <c r="M6" s="21" t="n">
        <v>4</v>
      </c>
      <c r="N6" s="21" t="inlineStr">
        <is>
          <t>Tukker, A. (2004). Eight types of product–service system: Eight ways to sustainability? Experiences from SusProNet. Business Strategy and the Environment, 13(4), 246–260.
Ceschin, F. (2014). Sustainable Product-Service Systems: Between Strategic Design and Transition Studies.</t>
        </is>
      </c>
      <c r="O6" s="21" t="n"/>
      <c r="P6" s="21" t="n">
        <v>1</v>
      </c>
      <c r="Q6" s="21" t="n"/>
      <c r="R6" s="21" t="inlineStr">
        <is>
          <t>LOOP 1,LOOP N,LAST LOOP</t>
        </is>
      </c>
      <c r="S6" s="21" t="inlineStr">
        <is>
          <t>Products,Systems</t>
        </is>
      </c>
      <c r="T6" s="21" t="n"/>
      <c r="U6" s="21" t="n"/>
      <c r="V6" s="21" t="n"/>
      <c r="W6" s="21" t="n"/>
      <c r="X6" s="74" t="n"/>
    </row>
    <row r="7" ht="75" customHeight="1" s="76">
      <c r="A7" s="21" t="inlineStr">
        <is>
          <t>reverse</t>
        </is>
      </c>
      <c r="B7" s="21" t="n">
        <v>88</v>
      </c>
      <c r="C7" s="21" t="inlineStr">
        <is>
          <t>Df Remanufacturing</t>
        </is>
      </c>
      <c r="D7" s="21" t="inlineStr">
        <is>
          <t>Df Closed-loop Reverse Supply Chain</t>
        </is>
      </c>
      <c r="E7" s="21" t="inlineStr">
        <is>
          <t>Df Buy-back</t>
        </is>
      </c>
      <c r="F7" s="21" t="n">
        <v>1</v>
      </c>
      <c r="G7" s="21" t="n"/>
      <c r="H7" s="21" t="inlineStr">
        <is>
          <t>In a buy-back programme for remanufacturing, the manufacturer offers customers a financial incentive to return used products. The returned products (called "cores") are then assessed, disassembled, cleaned, and remanufactured to original specifications. The designer plays a critical role in ensuring products are designed for efficient core recovery — this means using durable materials for structural components, designing for non-destructive disassembly, and minimising the use of adhesives or irreversible joints that would damage components during recovery.</t>
        </is>
      </c>
      <c r="I7" s="21" t="inlineStr">
        <is>
          <t>In this strategy, manufacturers or other suppliers "buy-back" used products and components from their customers. The ability to predict return flows depends on the manufacturer's ability to set specific purchase prices. Hence, the manufacturer should define in advance what will be the desired stream between the entire product, components or materials of the product. Manufacturers need to determine the required amounts, price, time and sites of return for every form of return flow.
- For service and production purposes, manufacturers can obtain an inexpensive supply of components and materials;
- Buying-back used products may be an opportunity to reengage a new relationship with the customer for sale or lease new products;
- Deposition and incineration costs may be minimized;
- Understand how products are used and design better products.</t>
        </is>
      </c>
      <c r="J7" s="21" t="inlineStr">
        <is>
          <t>Buy-back programmes are particularly effective for high-value industrial products where the core retains significant material and manufacturing value — engines, transmissions, compressors, turbines, and heavy machinery components. The programme works best when the manufacturer has a strong dealer network that can facilitate collection, and when customers have a natural replacement cycle that triggers the return. The designer should consider how the product condition at end-of-use affects remanufacturing viability.</t>
        </is>
      </c>
      <c r="K7" s="21" t="inlineStr">
        <is>
          <t>An effective buy-back system for remanufacturing requires: a clear pricing structure for cores based on condition assessment; an efficient logistics network for collection and return; quality grading systems to sort cores by remanufacturing potential; strong relationships with dealers and distributors; and product designs that retain maximum value through use cycles.</t>
        </is>
      </c>
      <c r="L7" s="21" t="inlineStr">
        <is>
          <t>• Which purchase channel can facilitate the take-back?
• How the company can withdrawal products from castomers?
• How the company can coordinate with retailers and other distributors to collect products?
• For how many loops the product can be buy-back?</t>
        </is>
      </c>
      <c r="M7" s="21" t="n">
        <v>106</v>
      </c>
      <c r="N7" s="21" t="inlineStr">
        <is>
          <t>Guide, V. D. R., &amp; Van Wassenhove, L. N. (2009). The evolution of closed-loop supply chain research. Operations Research, 57(1), 10–18.
Östlin, J., Sundin, E., &amp; Björkman, M. (2008). Importance of closed-loop supply chain relationships for product remanufacturing. International Journal of Production Economics, 115(2), 336–348.
Klausner, M., &amp; Hendrickson, C. T. (2000). Reverse-logistics strategy for product take-back. Interfaces, 30(3), 156–165.</t>
        </is>
      </c>
      <c r="O7" s="21" t="n"/>
      <c r="P7" s="21" t="n"/>
      <c r="Q7" s="21" t="n"/>
      <c r="R7" s="21" t="inlineStr">
        <is>
          <t>LOOP 1,LOOP N</t>
        </is>
      </c>
      <c r="S7" s="21" t="inlineStr">
        <is>
          <t>Components,Products,Processes</t>
        </is>
      </c>
      <c r="T7" s="21" t="n"/>
      <c r="U7" s="21" t="n"/>
      <c r="V7" s="21" t="n"/>
      <c r="W7" s="21" t="n"/>
      <c r="X7" s="74" t="n"/>
    </row>
    <row r="8" ht="75" customHeight="1" s="76">
      <c r="A8" s="21" t="inlineStr">
        <is>
          <t>recovery</t>
        </is>
      </c>
      <c r="B8" s="21" t="n">
        <v>97</v>
      </c>
      <c r="C8" s="21" t="inlineStr">
        <is>
          <t>Df Remanufacturing</t>
        </is>
      </c>
      <c r="D8" s="21" t="inlineStr">
        <is>
          <t>Df Non-Destructive Disassembly</t>
        </is>
      </c>
      <c r="E8" s="21" t="inlineStr">
        <is>
          <t>Df Non-Destructive Disassembly</t>
        </is>
      </c>
      <c r="F8" s="21" t="n">
        <v>1</v>
      </c>
      <c r="G8" s="21" t="n"/>
      <c r="H8" s="21" t="inlineStr">
        <is>
          <t>Df Non-Destructive Disassembly can have the following benefits:
- Facilitate maintenance and repair, thereby reducing costs;
- Facilitate part/component re-use, thereby recovering materials and reducing costs;
- Assist material recycling, thereby avoiding disposal and handling of waste;
- Assist product testing and failure-mode/end-of-life analysis;
- Facilitate product take-back and extended producer responsibility, thereby reducing liability and assisting in regulatory compliance.</t>
        </is>
      </c>
      <c r="I8" s="21" t="inlineStr">
        <is>
          <t>Design for  Non-Destructive Disassembly or Demanufacturing strategy gives a better chance to product to be disassembled into different elements for major remanufacturing quality. This strategy can be used for different reasons: as a maintenance activity (to swap one part for another one to be reused, clean, repaired, refurbished or resold component and materials), recycling operation or dispose of hazardous materials. In this strategy, the sequence of disassembling tasks and operations must be set up logically in order to facilitate and faster the disassembling process. Depending on product typology, the disassembling ca be performed using an automatic or human disassembling process. To facilitate the human disassembling process it is necessary to use basic hand tools to reduce labour costs.
Disassembling generates significant economic benefits for communities while reducing the need for new landfills, preventing pollution, saving energy, and reducing greenhouse gas emissions. The disassembling process employs low-, medium-, and highly-skilled workers in a variety of jobs—from handling and refining to delivering high-quality goods. Further, these jobs will often require high mobility as they are embodied in a global market.</t>
        </is>
      </c>
      <c r="J8" s="21" t="inlineStr">
        <is>
          <t>In general, designers should attempt to: 
- Use detachable joints such as snap, screw or bayonet instead of welded, glued or soldered connections;
- Use standardized joints so that the product can be dismantled with a few universal tools, e.g., one type and size of screws;
- Position joints so that the product does not need to be turned or moved for dismantling;
- Indicate on the product how it should be opened non-destructively, e.g., where and how to apply leverage with a screwdriver to open snap connections;
- Place parts that are likely to wear out at the same time in close proximity so they can be easily replaced simultaneously. 
- Indicate on the product which parts must be cleaned or maintained in a specific way, e.g., colour-coded lubricating points;
- Create an intuitively disassembling process;</t>
        </is>
      </c>
      <c r="K8" s="21" t="inlineStr">
        <is>
          <t>Non-destructive disassembly for remanufacturing is characterised by: the preservation of all components in a reusable state; the use of reversible fasteners (screws, clips, snap-fits) rather than permanent joints (welds, adhesives); a defined disassembly sequence that minimises time and tool changes; compatibility with both manual and automated disassembly processes; and the ability to repeatedly disassemble and reassemble without degradation of joints or interfaces.</t>
        </is>
      </c>
      <c r="L8" s="21" t="inlineStr">
        <is>
          <t>What are the parts that will wear quicker and become obsolete? Is the non-destructive disassembly feasible in terms of price and unit cost?
How does the Design for Non-Destructive Disassembly strategy changes the design of the product?
How does the Design for Non-Destructive Disassembly strategy changes the way products are developed?
What are the materials and design implications of the Design for Non-Destructive Disassembly strategy?
How cost minimisation or profit maximisation can be achieved in Design for Non-Destructive Disassembly?
What is the value of the disassembled part? There is a market for it? Can we reuse, refurbished, remanufactured or recycle it?
How disassembling sequencing should be organized?
When it suits to have an automatic or human disassembling process?</t>
        </is>
      </c>
      <c r="M8" s="21" t="n">
        <v>107</v>
      </c>
      <c r="N8" s="21" t="inlineStr">
        <is>
          <t>Rohatyński, R. (2016). Design for Disassembly. Introduction to a New Design Issue.
Torres, Fernando, and Santiago Puente. "Intelligent Disassembly in the Demanufacturing Process." The International Journal of Advanced Manufacturing Technology 30.5 (2006): 479-80
Information System Resources. Demanufacturing whitepaper (2011).</t>
        </is>
      </c>
      <c r="O8" s="21" t="n"/>
      <c r="P8" s="21" t="n"/>
      <c r="Q8" s="21" t="inlineStr">
        <is>
          <t>Df Modularization; Df Standardization; Df Recycling</t>
        </is>
      </c>
      <c r="R8" s="21" t="inlineStr">
        <is>
          <t>LOOP 1,LOOP N</t>
        </is>
      </c>
      <c r="S8" s="21" t="inlineStr">
        <is>
          <t>Components,Products</t>
        </is>
      </c>
      <c r="T8" s="21" t="n"/>
      <c r="U8" s="21" t="n"/>
      <c r="V8" s="21" t="n"/>
      <c r="W8" s="21" t="n"/>
      <c r="X8" s="74" t="n"/>
    </row>
    <row r="9" ht="75" customHeight="1" s="76">
      <c r="A9" s="21" t="inlineStr">
        <is>
          <t>recovery</t>
        </is>
      </c>
      <c r="B9" s="21" t="n">
        <v>105</v>
      </c>
      <c r="C9" s="21" t="inlineStr">
        <is>
          <t>Df Remanufacturing</t>
        </is>
      </c>
      <c r="D9" s="21" t="inlineStr">
        <is>
          <t>Df Non-Destructive Disassembly</t>
        </is>
      </c>
      <c r="E9" s="21" t="inlineStr">
        <is>
          <t>Df Component Recovery</t>
        </is>
      </c>
      <c r="F9" s="21" t="n"/>
      <c r="G9" s="21" t="n"/>
      <c r="H9" s="21" t="inlineStr">
        <is>
          <t>Design for Component Recovery involves structuring the product so that individual components can be extracted intact, assessed for condition, and either reused directly or remanufactured independently. This requires designing clear component boundaries, using reversible fastening methods, and ensuring components are accessible without requiring removal of unrelated parts. The disassembly sequence should be optimised so that the most valuable or most frequently replaced components are accessible earliest in the process.</t>
        </is>
      </c>
      <c r="I9" s="21" t="inlineStr">
        <is>
          <t xml:space="preserve">Design for Component Recovery is a product design approach that prioritises the simplicity of retrieving and reutilizing components when a product reaches the end of its lifespan. The process includes the careful selection of long-lasting materials, the creation of products with interchangeable parts for convenient replacement or enhancement, and the guarantee that items may be disassembled without causing harm to the components. This method also incorporates the standardisation of components across various products to ease interchangeability and retrieval. Precise identification of components for material composition and recycling instructions is also a crucial factor. The DfCR approach adheres to circular design principles, which effectively reduce waste and preserve resources. Additionally, it has the potential to attract environmentally concerned consumers in the market.
</t>
        </is>
      </c>
      <c r="J9" s="21" t="inlineStr">
        <is>
          <t>Component recovery is particularly valuable for products containing high-value subassemblies — electronic control units, precision mechanical assemblies, optical systems, or specialised motors. The designer should map the value hierarchy of components and design the product architecture to prioritise recovery of the most economically and environmentally significant parts. Component recovery is also critical when certain parts have longer functional lifespans than others.</t>
        </is>
      </c>
      <c r="K9" s="21" t="inlineStr">
        <is>
          <t>Effective component recovery design features: clear identification and labelling of recoverable components; standardised interfaces between components to enable cross-generational compatibility; non-destructive access paths that do not require cutting, breaking, or deforming other parts; documentation of disassembly sequences and tools required; and quality indicators or sensors that help assess component condition without full testing.</t>
        </is>
      </c>
      <c r="L9" s="21" t="inlineStr">
        <is>
          <t>• Which components retain the most value at end of use and should be prioritised for recovery?
• What is the expected condition of each component after one lifecycle — will it be reusable as-is or require reconditioning?
• Can the disassembly sequence be designed so that high-value components are accessible early in the process?
• Are components interchangeable across product generations to maximise reuse potential?
• What identification or tracking system is needed to trace component history?</t>
        </is>
      </c>
      <c r="M9" s="21" t="n">
        <v>108</v>
      </c>
      <c r="N9" s="21" t="inlineStr">
        <is>
          <t>Sundin, E., &amp; Bras, B. (2005). Making functional sales environmentally and economically beneficial through product remanufacturing. Journal of Cleaner Production, 13(9), 913–925.
Duflou, J. R., Seliger, G., Kara, S., Umeda, Y., Ometto, A., &amp; Willems, B. (2008). Efficiency and feasibility of product disassembly: A case-based study. CIRP Annals, 57(2), 583–600.
Kuo, T. C. (2006). Enhancing product disassembly and component recovery using design for disassembly. Robotics and Computer-Integrated Manufacturing, 22(5), 579–588.</t>
        </is>
      </c>
      <c r="O9" s="21" t="n"/>
      <c r="P9" s="21" t="n"/>
      <c r="Q9" s="21" t="n"/>
      <c r="R9" s="21" t="inlineStr">
        <is>
          <t>LOOP 1,LOOP N</t>
        </is>
      </c>
      <c r="S9" s="21" t="inlineStr">
        <is>
          <t>Components,Products</t>
        </is>
      </c>
      <c r="T9" s="21" t="n"/>
      <c r="U9" s="21" t="n"/>
      <c r="V9" s="21" t="n"/>
      <c r="W9" s="21" t="n"/>
      <c r="X9" s="74" t="n"/>
    </row>
    <row r="10" ht="75" customHeight="1" s="76">
      <c r="A10" s="21" t="inlineStr">
        <is>
          <t>recovery</t>
        </is>
      </c>
      <c r="B10" s="21" t="n">
        <v>98</v>
      </c>
      <c r="C10" s="21" t="inlineStr">
        <is>
          <t>Df Remanufacturing</t>
        </is>
      </c>
      <c r="D10" s="21" t="inlineStr">
        <is>
          <t>Df Non-Destructive Disassembly</t>
        </is>
      </c>
      <c r="E10" s="21" t="inlineStr">
        <is>
          <t>Df Automated Disassembly</t>
        </is>
      </c>
      <c r="F10" s="21" t="n">
        <v>1</v>
      </c>
      <c r="G10" s="21" t="n"/>
      <c r="H10" s="21" t="inlineStr">
        <is>
          <t>Designers should attempt to: 
• Managing and processing a large quantity of information for a high success rate of disassembly. 
• Configuring a disassembly system as a modular system; 
• Analyse the disassembly requirements;
• Design and assess the performance of the functions needed;
• Create a disassembly domain;
• Determine the cognitive robotic functions;
• List the actions, fluents, precondition, effects required for each module;
• Program the behaviours using procedure due to complex actions; and
• Connect the modules together via actions and fluents.</t>
        </is>
      </c>
      <c r="I10" s="21" t="inlineStr">
        <is>
          <t>Design for Automated Disassembly is a key part of the Design for Disassembly strategy. Although most products can be disassembled by human labour, this may lead to high operational costs and time consumption. Developing automatic and systemic disassembly may overcome this obstacle and improve the economic feasibility of disassembly.  This strategy involves the use of robots equipped with artificial intelligence (AI) that are able to scan the physical condition of the product and disassembling it, even if the product is highly worn. Robots are also flexible and able to recognize the product typology and adapt their operations accordingly with it. This process requires a high level of mechanical and control system to be achieved,</t>
        </is>
      </c>
      <c r="J10" s="21" t="inlineStr">
        <is>
          <t>Automated disassembly is most applicable to products manufactured in high volumes where manual disassembly would be prohibitively expensive — consumer electronics, small appliances, automotive components, and printed circuit boards. The designer should consider whether the product volume and consistency justify the investment in robotic or automated disassembly systems. Products designed for automated disassembly should have consistent geometries, standardised fasteners, and clear visual or sensor-readable markers for robot guidance.</t>
        </is>
      </c>
      <c r="K10" s="21" t="inlineStr">
        <is>
          <t>Design for Automated Disassembly can have the following benefits:
• Reduction of the work needed in disassembly;
• Quick and easy disassembly operations;
• The system can improve the "disassembling" abilities and learning new instructions given by the human operator;
• The system can reduce the misclassification of main components, which is more frequent for humans when the components are damaged.</t>
        </is>
      </c>
      <c r="L10" s="21" t="inlineStr">
        <is>
          <t>Which parts are more likely to wear out faster?
Is our product suitable for an automatic disassembly?</t>
        </is>
      </c>
      <c r="M10" s="21" t="n">
        <v>109</v>
      </c>
      <c r="N10" s="21" t="inlineStr">
        <is>
          <t>Vongbunyong, S., &amp; Chen, W. H. (2016). Disassembly Automation: Automated Systems with Cognitive Abilities (Softcover reprint of the original 1st ed. 2015 edition). Springer.</t>
        </is>
      </c>
      <c r="O10" s="21" t="n"/>
      <c r="P10" s="21" t="n"/>
      <c r="Q10" s="21" t="n"/>
      <c r="R10" s="21" t="inlineStr">
        <is>
          <t>LOOP 1,LOOP N,LAST LOOP</t>
        </is>
      </c>
      <c r="S10" s="21" t="inlineStr">
        <is>
          <t>Components,Products</t>
        </is>
      </c>
      <c r="T10" s="21" t="n"/>
      <c r="U10" s="21" t="n"/>
      <c r="V10" s="21" t="n"/>
      <c r="W10" s="21" t="n"/>
      <c r="X10" s="74" t="n"/>
    </row>
    <row r="11" ht="75" customHeight="1" s="76">
      <c r="A11" s="21" t="inlineStr">
        <is>
          <t>recovery</t>
        </is>
      </c>
      <c r="B11" s="21" t="n">
        <v>215</v>
      </c>
      <c r="C11" s="21" t="inlineStr">
        <is>
          <t>Df Remanufacturing</t>
        </is>
      </c>
      <c r="D11" s="21" t="inlineStr">
        <is>
          <t>Df Non-Destructive Disassembly</t>
        </is>
      </c>
      <c r="E11" s="21" t="inlineStr">
        <is>
          <t>Df Hazardous Material Isolation</t>
        </is>
      </c>
      <c r="F11" s="21" t="n"/>
      <c r="G11" s="21" t="n"/>
      <c r="H11" s="21" t="inlineStr">
        <is>
          <t>Design for Hazardous Material Isolation requires the designer to identify all hazardous substances within the product (batteries, mercury switches, lead solder, brominated flame retardants, refrigerants, etc.) and design the product architecture so these materials are physically segregated, clearly marked, and accessible for early removal during disassembly. The goal is to prevent contamination of recoverable components and materials during the remanufacturing process. Hazardous components should be positioned for priority extraction in the disassembly sequence.</t>
        </is>
      </c>
      <c r="I11" s="21" t="inlineStr">
        <is>
          <t>Design for Hazardous Material Isolation in the context of remanufacturing is a strategy that focuses on designing products to safely and effectively isolate hazardous materials. This approach is crucial for ensuring that during the remanufacturing process, these materials are contained and do not pose risks to workers or the environment. By integrating DfHMI, products are designed in a way that hazardous components are easily identifiable and separable, facilitating their safe handling and disposal. This not only enhances the safety and efficiency of the remanufacturing process but also aligns with environmental and health regulations, contributing to sustainable remanufacturing practices.</t>
        </is>
      </c>
      <c r="J11" s="21" t="inlineStr">
        <is>
          <t>This strategy is critical for electrical and electronic products, automotive components, medical devices, and any product containing batteries, chemical substances, or materials restricted by regulations such as the EU WEEE Directive and RoHS. The designer should map all hazardous materials in the bill of materials and ensure each is contained in a module that can be removed without risk of leakage, breakage, or contamination of adjacent components.</t>
        </is>
      </c>
      <c r="K11" s="21" t="inlineStr">
        <is>
          <t>Effective hazardous material isolation design features: physical containment of hazardous substances in dedicated, clearly marked modules; priority positioning in the disassembly sequence (removed first); leak-proof enclosures that maintain integrity through use and transport; compliance with relevant regulations (WEEE, RoHS, REACH); and clear handling instructions integrated into or printed on the product.</t>
        </is>
      </c>
      <c r="L11" s="21" t="inlineStr">
        <is>
          <t>• Which hazardous materials are present in our product, and where are they located?
• Can all hazardous components be removed in the first steps of disassembly without tools or with minimal tooling?
• Are hazardous modules sealed to prevent leakage during use, transport, and storage?
• Does the product design comply with current and upcoming regulations on hazardous substance management?
• How will workers be protected during the removal of hazardous components?</t>
        </is>
      </c>
      <c r="M11" s="21" t="n">
        <v>110</v>
      </c>
      <c r="N11" s="21" t="inlineStr">
        <is>
          <t>Seliger, G., Kernbaum, S., &amp; Zettl, M. (2006). Remanufacturing approaches contributing to sustainable engineering. Gestão &amp; Produção, 13(3), 367–384.
Cui, J., &amp; Forssberg, E. (2003). Mechanical recycling of waste electric and electronic equipment: A review. Journal of Hazardous Materials, 99(3), 243–263.
Widmer, R., Oswald-Krapf, H., Sinha-Khetriwal, D., Schnellmann, M., &amp; Böni, H. (2005). Global perspectives on e-waste. Environmental Impact Assessment Review, 25(5), 436–458.</t>
        </is>
      </c>
      <c r="O11" s="21" t="n"/>
      <c r="P11" s="21" t="n"/>
      <c r="Q11" s="21" t="n"/>
      <c r="R11" s="21" t="inlineStr">
        <is>
          <t>LOOP 1,LOOP N,LAST LOOP</t>
        </is>
      </c>
      <c r="S11" s="21" t="inlineStr">
        <is>
          <t>Components,Products</t>
        </is>
      </c>
      <c r="T11" s="21" t="n"/>
      <c r="U11" s="21" t="n"/>
      <c r="V11" s="21" t="n"/>
      <c r="W11" s="21" t="n"/>
      <c r="X11" s="74" t="n"/>
    </row>
    <row r="12" ht="75" customHeight="1" s="76">
      <c r="A12" s="21" t="inlineStr">
        <is>
          <t>recovery</t>
        </is>
      </c>
      <c r="B12" s="21" t="n">
        <v>99</v>
      </c>
      <c r="C12" s="21" t="inlineStr">
        <is>
          <t>Df Remanufacturing</t>
        </is>
      </c>
      <c r="D12" s="21" t="inlineStr">
        <is>
          <t>Df Semi-Destructive Disassembly</t>
        </is>
      </c>
      <c r="E12" s="21" t="inlineStr">
        <is>
          <t>Df Semi-Destructive Disassembly</t>
        </is>
      </c>
      <c r="F12" s="21" t="n">
        <v>1</v>
      </c>
      <c r="G12" s="21" t="n"/>
      <c r="H12" s="21" t="inlineStr">
        <is>
          <t>In semi-destructive disassembly, the designer accepts that certain connective elements (rivets, clips, adhesive bonds, press-fits) will be destroyed during disassembly, but designs the product so that only these low-value connective components are sacrificed while all functional components and materials are preserved intact. The key design principle is to concentrate all irreversible joints in sacrificial, low-cost connectors that can be easily and cheaply replaced during reassembly.</t>
        </is>
      </c>
      <c r="I12" s="21" t="inlineStr">
        <is>
          <t>"Design fo Semi-Destructive Disassembly strategy aims to destroy only connective components, e.g. via breaking, folding or cutting, leaving main components with little or no damage. This increases the efficiency of the operation and has been found in many cases to be economically feasible. Many research works relating to automatic disassembly use semi-destructive techniques to overcome the uncertainties in the product condition and geometry. Examples of such techniques include the drilling out of screw heads during the disassembly of electric motors, creation of new surfaces allowing torque transmission for unscrewing and cutting off of screw heads using a cut-off wheel." (Vongbunyong, S., &amp; Chen, W. H. 2016).</t>
        </is>
      </c>
      <c r="J12" s="21" t="inlineStr">
        <is>
          <t>Semi-destructive disassembly is a practical compromise when fully non-destructive disassembly is either too expensive or technically unfeasible. It is commonly applied in automotive body panels, white goods, and products where structural integrity during use requires stronger joints than reversible fasteners can provide. The designer should evaluate which joints must be permanent for safety or performance and design these as the only points of destruction.</t>
        </is>
      </c>
      <c r="K12" s="21" t="inlineStr">
        <is>
          <t>Products designed for semi-destructive disassembly feature: a clear distinction between sacrificial connectors and recoverable components; low-cost, readily available replacement connectors; joints designed to fail predictably and cleanly (e.g. along designated break lines); no damage transfer to adjacent components during connector destruction; and documentation of which joints are destructive and what replacements are needed.</t>
        </is>
      </c>
      <c r="L12" s="21" t="inlineStr">
        <is>
          <t>• Which joints in the product must be permanent for safety or performance reasons?
• Can destructive joints be limited to low-cost, easily replaceable connectors?
• Will the destruction of connective components cause any damage to functional parts?
• What is the cost of replacement connectors relative to the value of recovered components?
• How many semi-destructive disassembly cycles can the product endure before functional components are affected?</t>
        </is>
      </c>
      <c r="M12" s="21" t="n">
        <v>111</v>
      </c>
      <c r="N12" s="21" t="inlineStr">
        <is>
          <t>Vongbunyong, S., &amp; Chen, W. H. (2016). Disassembly Automation: Automated Systems with Cognitive Abilities (Softcover reprint of the original 1st ed. 2015 edition). Springer.</t>
        </is>
      </c>
      <c r="O12" s="21" t="n"/>
      <c r="P12" s="21" t="n"/>
      <c r="Q12" s="21" t="n"/>
      <c r="R12" s="21" t="inlineStr">
        <is>
          <t>LOOP 1,LOOP N</t>
        </is>
      </c>
      <c r="S12" s="21" t="inlineStr">
        <is>
          <t>Components,Products</t>
        </is>
      </c>
      <c r="T12" s="21" t="n"/>
      <c r="U12" s="21" t="n"/>
      <c r="V12" s="21" t="n"/>
      <c r="W12" s="21" t="n"/>
      <c r="X12" s="74" t="n"/>
    </row>
    <row r="13" ht="75" customHeight="1" s="76">
      <c r="A13" s="21" t="inlineStr">
        <is>
          <t>recovery</t>
        </is>
      </c>
      <c r="B13" s="21" t="n">
        <v>100</v>
      </c>
      <c r="C13" s="21" t="inlineStr">
        <is>
          <t>Df Remanufacturing</t>
        </is>
      </c>
      <c r="D13" s="21" t="inlineStr">
        <is>
          <t>Df Semi-Destructive Disassembly</t>
        </is>
      </c>
      <c r="E13" s="21" t="inlineStr">
        <is>
          <t>Df Embedded Disassembly Process</t>
        </is>
      </c>
      <c r="F13" s="21" t="n">
        <v>1</v>
      </c>
      <c r="G13" s="21" t="n"/>
      <c r="H13" s="21" t="inlineStr">
        <is>
          <t>The embedded disassembly process is integrated into the product during manufacturing and is activated at the point of disassembly using an external trigger — typically heat, electrical current, or a chemical agent. Smart materials such as shape memory alloys (SMAs) or shape memory polymers (SMPs) are used as fasteners or structural elements that change shape or lose rigidity when exposed to the trigger, causing the product to separate along pre-designed fault lines. The designer must select trigger conditions that are easily achievable in a remanufacturing facility but will not be accidentally triggered during normal product use.</t>
        </is>
      </c>
      <c r="I13" s="21" t="inlineStr">
        <is>
          <t>Design for  Embedded Disassembly Process strategy integrates the disassembly process inside a product during manufacturing and activate it at disassembly. This design strategy creates products that are self-disassemblable and the process can be activated through a clear movement (for customer disassembly) or a mechanical movement (for industrial disassembly).
Designers should attempt to:
• identifying the essential part of currently used disassembly process and minimizing the mechanism for disassembly and then embedding them into the products;
• for multiple product lifecycles, it should be possible to reinsert the mechanism multiple times;
• If the product contains hazardous materials, the mechanism should be hidden to customers;  
Designers should attempt to:
• identifying the essential part of currently used disassembly process and minimizing the mechanism for disassembly and then embedding them into the products;
• for multiple product lifecycles, it should be possible to reinsert the mechanism multiple times;
• Calculation of the "removability" part;
Df Embedded Disassembly Process can have the following benefits:
• Disassembly can be obtained without special expensive equipment;</t>
        </is>
      </c>
      <c r="J13" s="21" t="inlineStr">
        <is>
          <t>Embedded disassembly is most relevant for products that are difficult or time-consuming to disassemble manually — complex assemblies with many small fasteners, sealed housings, or products where internal components must be accessed without damage. It is particularly promising for consumer electronics, small appliances, and any product where disassembly labour costs are a barrier to economically viable remanufacturing.</t>
        </is>
      </c>
      <c r="K13" s="21" t="inlineStr">
        <is>
          <t>A broad range of products can be implemented with the Design for  Embedded Disassembly strategy, as no particular devices, materials or actuators are needed for implementing them. However, the strategy may not be sufficient for items that require very little flexibility in the arrangement of components.</t>
        </is>
      </c>
      <c r="L13" s="21" t="inlineStr">
        <is>
          <t>• What trigger mechanism is most appropriate for this product — heat, electrical current, chemical, or mechanical?
• At what temperature or energy threshold should the embedded disassembly activate, and is this safely above normal operating conditions?
• Can the embedded disassembly mechanism be reset or replaced for reassembly?
• What is the cost of incorporating smart materials relative to the savings in disassembly time and labour?
• Are the embedded smart materials compatible with the product's operational environment?</t>
        </is>
      </c>
      <c r="M13" s="21" t="n">
        <v>72</v>
      </c>
      <c r="N13" s="21" t="inlineStr">
        <is>
          <t>Masui K, Mizuhara K, Ishii K, Rose C (1999) Development of products embedded disassembly process based on end-of-life strategies. In: Proceedings of the 1st international symposium on environmentally conscious design and inverse manufacturing, Tokyo, pp 570–575
Takeuchi, S., &amp; Saitou, K. (2008). Design for Product Embedded Disassembly. In T. Yu, L. Davis, C. Baydar, &amp; R. Roy (Eds.), Evolutionary Computation in Practice (pp. 9–39). Springer. https://doi.org/10.1007/978-3-540-75771-9_2</t>
        </is>
      </c>
      <c r="O13" s="21" t="n"/>
      <c r="P13" s="21" t="n"/>
      <c r="Q13" s="21" t="inlineStr">
        <is>
          <t>Design for Disassembly; Design for Destructive Disassembly; Design for Semi-Destructive Disassembly; Design for Non-Destructive Disassembly; Design for Ease of Disassembly; Design for Reassembly;</t>
        </is>
      </c>
      <c r="R13" s="21" t="inlineStr">
        <is>
          <t>LOOP 1,LOOP N</t>
        </is>
      </c>
      <c r="S13" s="21" t="inlineStr">
        <is>
          <t>Components,Products</t>
        </is>
      </c>
      <c r="T13" s="21" t="n"/>
      <c r="U13" s="21" t="n"/>
      <c r="V13" s="21" t="n"/>
      <c r="W13" s="21" t="n"/>
      <c r="X13" s="74" t="n"/>
    </row>
    <row r="14" ht="75" customHeight="1" s="76">
      <c r="A14" s="21" t="inlineStr">
        <is>
          <t>recovery</t>
        </is>
      </c>
      <c r="B14" s="21" t="n">
        <v>103</v>
      </c>
      <c r="C14" s="21" t="inlineStr">
        <is>
          <t>Df Remanufacturing</t>
        </is>
      </c>
      <c r="D14" s="21" t="inlineStr">
        <is>
          <t>Df Semi-Destructive Disassembly</t>
        </is>
      </c>
      <c r="E14" s="21" t="inlineStr">
        <is>
          <t>Df Untying</t>
        </is>
      </c>
      <c r="F14" s="21" t="n">
        <v>1</v>
      </c>
      <c r="G14" s="21" t="n"/>
      <c r="H14" s="21" t="inlineStr">
        <is>
          <t>Design for Untying involves structuring product assemblies so that tied or bound components can be separated by cutting or breaking only the binding element (cable ties, wire wraps, lacing cords, crimp connectors, or similar ties) without damaging the components themselves. The designer should ensure that binding elements are visible, accessible, and made of materials that can be cleanly cut. Components should remain functional and geometrically intact once the binding is removed.</t>
        </is>
      </c>
      <c r="I14" s="21" t="inlineStr">
        <is>
          <t>Design for Untying strategy considered products which are made of modular or non-modular components tied together. The disassembly of the components occurs by breaking or untying the connections between components.</t>
        </is>
      </c>
      <c r="J14" s="21" t="inlineStr">
        <is>
          <t>Untying is particularly relevant for products that use cable harnesses, bundled wiring, tied-together tubing or piping, or laced-together textile components. Common applications include automotive wiring looms, appliance cable assemblies, server rack cabling, and textile-based products. The designer should evaluate whether tied bundles can be redesigned to use quick-release connectors or modular plugs instead, which would eliminate the need for cutting altogether.</t>
        </is>
      </c>
      <c r="K14" s="21" t="inlineStr">
        <is>
          <t>Products designed with untying in mind feature: visible and accessible binding points; binding materials that can be cleanly cut without fraying or shattering; sufficient clearance around bindings for cutting tools; components that remain undamaged when bindings are removed; and replacement binding materials that are inexpensive and readily available for reassembly.</t>
        </is>
      </c>
      <c r="L14" s="21" t="inlineStr">
        <is>
          <t>• Can existing permanent bindings be replaced with releasable alternatives (e.g. hook-and-loop, quick-release clips)?
• Are all binding points accessible without prior disassembly of other components?
• Will cutting the bindings cause any unintended separation or displacement of components?
• What is the time and cost required to re-bind components during reassembly?
• Can the binding design be standardised across the product range?</t>
        </is>
      </c>
      <c r="M14" s="21" t="n">
        <v>73</v>
      </c>
      <c r="N14" s="21" t="inlineStr">
        <is>
          <t>Vongbunyong, S., &amp; Chen, W. H. (2016). Disassembly Automation: Automated Systems with Cognitive Abilities. Springer International Publishing.
Bras, B., &amp; Hammond, R. (1996). Towards Design for Remanufacturing—Metrics for Assessing Remanufacturability. Proceedings of the 1st International Workshop on Reuse, 5–22.</t>
        </is>
      </c>
      <c r="O14" s="21" t="n"/>
      <c r="P14" s="21" t="n"/>
      <c r="Q14" s="21" t="n"/>
      <c r="R14" s="21" t="inlineStr">
        <is>
          <t>LOOP 1,LOOP N</t>
        </is>
      </c>
      <c r="S14" s="21" t="inlineStr">
        <is>
          <t>Components,Products</t>
        </is>
      </c>
      <c r="T14" s="21" t="n"/>
      <c r="U14" s="21" t="n"/>
      <c r="V14" s="21" t="n"/>
      <c r="W14" s="21" t="n"/>
      <c r="X14" s="74" t="n"/>
    </row>
    <row r="15" ht="75" customHeight="1" s="76">
      <c r="A15" s="21" t="inlineStr">
        <is>
          <t>recovery</t>
        </is>
      </c>
      <c r="B15" s="21" t="n">
        <v>114</v>
      </c>
      <c r="C15" s="21" t="inlineStr">
        <is>
          <t>Df Remanufacturing</t>
        </is>
      </c>
      <c r="D15" s="21" t="inlineStr">
        <is>
          <t>Df Semi-Destructive Disassembly</t>
        </is>
      </c>
      <c r="E15" s="21" t="inlineStr">
        <is>
          <t>Df Active Disassembly</t>
        </is>
      </c>
      <c r="F15" s="21" t="n">
        <v>1</v>
      </c>
      <c r="G15" s="21" t="n"/>
      <c r="H15" s="21" t="inlineStr">
        <is>
          <t>Active disassembly uses smart materials — primarily shape memory alloys (SMAs) and shape memory polymers (SMPs) — as functional fasteners that are activated by an external stimulus (usually heat). When the product reaches end of use, it is placed in a controlled environment where the stimulus is applied, causing the smart material fasteners to change shape and release the connections simultaneously. This enables rapid, automated separation of components without manual labour or destructive force. SMAs activate at specific temperatures (austenite finish temperature), while SMPs lose rigidity or change form when heated above their glass transition temperature.</t>
        </is>
      </c>
      <c r="I15" s="21" t="inlineStr">
        <is>
          <t>Design for Active Disassembly strategy uses smart materials or structure to activate product disassembly. Usually, a process of this is activated when the product is heated, microwaved or through variations in ambient pressure. This strategy is used to decrease the time needed for disassembling and implies the use of technology and smart materials. The amount of links that can be unmounted at the same time for one disassembly operation is unlimited. 
Designers should attempt to:
• Use compatible materials;
• Group harmful materials into subassemblies;
• Avoid ageing and corrosive material combination;
• Protect subassemblies against soiling and corrosion;
• Avoid metal inserts in plastic parts;
• Use standard subassemblies and parts;
• Minimize the number of fastener types; 
• Limitation to the number of different materials; 
• Standardize parts for multiple uses;
• Limit material variability;</t>
        </is>
      </c>
      <c r="J15" s="21" t="inlineStr">
        <is>
          <t>Active disassembly is most promising for high-volume consumer products where manual disassembly is not economically viable — mobile phones, small appliances, IT peripherals, and packaged consumer goods. The technology is also applicable to products containing hazardous materials that benefit from quick, clean separation. The designer must ensure that the activation temperature is well above the product's normal operating range to prevent premature disassembly, and that the smart material elements are compatible with the product's manufacturing processes.</t>
        </is>
      </c>
      <c r="K15" s="21" t="inlineStr">
        <is>
          <t>Active disassembly is characterised by: simultaneous release of multiple fastening points through a single trigger; dramatically reduced disassembly time compared to manual processes; consistent, repeatable disassembly outcomes; compatibility with automated end-of-life processing; and the need for careful material selection to avoid interference with normal product operation.</t>
        </is>
      </c>
      <c r="L15" s="21" t="inlineStr">
        <is>
          <t>• What is the appropriate activation temperature for the smart material fasteners, and is it safely above the product's maximum operating temperature?
• Can the smart material elements be sourced at a cost that makes economic sense for the product volume?
• Is the active disassembly process compatible with existing remanufacturing facility infrastructure?
• Can the smart material fasteners be replaced and reset during reassembly for subsequent lifecycle loops?
• What is the environmental profile of the smart materials used — are they themselves recyclable or recoverable?</t>
        </is>
      </c>
      <c r="M15" s="21" t="n">
        <v>76</v>
      </c>
      <c r="N15" s="21" t="inlineStr">
        <is>
          <t>Willems, B., Dewulf, W., &amp; Duflou, J. (2005). Design for active disassembly (DfAD): An outline for future research. Proceedings of the 2005 IEEE International Symposium on Electronics and the Environment, 2005., 129–134. https://doi.org/10.1109/ISEE.2005.1437007</t>
        </is>
      </c>
      <c r="O15" s="21" t="n"/>
      <c r="P15" s="21" t="n"/>
      <c r="Q15" s="21" t="n"/>
      <c r="R15" s="21" t="inlineStr">
        <is>
          <t>LOOP 1,LOOP N,LAST LOOP</t>
        </is>
      </c>
      <c r="S15" s="21" t="inlineStr">
        <is>
          <t>Components,Products</t>
        </is>
      </c>
      <c r="T15" s="21" t="n"/>
      <c r="U15" s="21" t="n"/>
      <c r="V15" s="21" t="n"/>
      <c r="W15" s="21" t="n"/>
      <c r="X15" s="74" t="n"/>
    </row>
    <row r="16" ht="75" customHeight="1" s="76">
      <c r="A16" s="21" t="inlineStr">
        <is>
          <t>service</t>
        </is>
      </c>
      <c r="B16" s="21" t="n">
        <v>213</v>
      </c>
      <c r="C16" s="21" t="inlineStr">
        <is>
          <t>Df Remanufacturing</t>
        </is>
      </c>
      <c r="D16" s="21" t="inlineStr">
        <is>
          <t>Df Maintenance</t>
        </is>
      </c>
      <c r="E16" s="21" t="inlineStr">
        <is>
          <t>Df Maintenance</t>
        </is>
      </c>
      <c r="F16" s="67" t="n"/>
      <c r="G16" s="21" t="inlineStr">
        <is>
          <t>high</t>
        </is>
      </c>
      <c r="H16" s="21" t="inlineStr">
        <is>
          <t>Design for Maintenance means designing products and systems so that they can be easily and effectively maintained. This includes considering the types of maintenance that will be required, the frequency of maintenance, the tools and equipment needed, and the skills and training of the maintenance staff. It also includes designing for easy access to components that need to be replaced or repaired and designing products and systems that are durable and require minimal maintenance.</t>
        </is>
      </c>
      <c r="I16" s="21" t="inlineStr">
        <is>
          <t>In a remanufacturing context, Design for Maintenance ensures that products can be effectively serviced, inspected, and kept in optimal condition throughout their use phase, thereby maximising the quality and value of cores returned for remanufacturing. Products that are well-maintained during use arrive at the remanufacturing facility in better condition, reducing the extent of reconditioning required and improving the economic viability of the remanufacturing process. Poor maintenance during use can render a product unsuitable for remanufacturing altogether, diverting it to lower-value recovery pathways.</t>
        </is>
      </c>
      <c r="J16" s="21" t="inlineStr">
        <is>
          <t>This strategy is relevant for any remanufacturable product where the condition at end of first use significantly affects remanufacturing feasibility. It is particularly important for mechanical systems with wear components (bearings, seals, filters), products with lubrication requirements, and complex assemblies where undetected degradation can cascade into broader failure. The designer should create clear maintenance schedules and ensure that maintenance access points are intuitive and well-documented.</t>
        </is>
      </c>
      <c r="K16" s="21" t="inlineStr">
        <is>
          <t>Products designed for maintenance in a remanufacturing context feature: easily accessible service points for routine maintenance tasks; clear visual or digital indicators of maintenance needs; standardised consumable parts (filters, lubricants, seals) that are widely available; maintenance procedures that can be performed without specialist tools; and condition monitoring capabilities that log maintenance history for the remanufacturer.</t>
        </is>
      </c>
      <c r="L16" s="21" t="inlineStr">
        <is>
          <t>There are several things to consider when designing a maintenance plan for remanufacturing. First, what is the scope of the remanufacturing process? What components need to be repaired or replaced? What is the expected lifetime of the remanufactured product?
Next, what is the frequency of maintenance? How often will the product need to be serviced? What is the expected wear and tear on the product?
Finally, what is the cost of maintenance? How much will it cost to repair or replace components? What is the expected cost of labour?</t>
        </is>
      </c>
      <c r="M16" s="21" t="n">
        <v>106</v>
      </c>
      <c r="N16" s="21" t="inlineStr">
        <is>
          <t>Nasr, N., Russell, J., Bringezu, S., Hellweg, S., Hilton, B., Kreiss, C., &amp; von Gries, N. (2018). Re-defining Value — The Manufacturing Revolution. UN Environment Programme.
Sundin, E., &amp; Bras, B. (2005). Making functional sales environmentally and economically beneficial through product remanufacturing. Journal of Cleaner Production, 13(9), 913–925.</t>
        </is>
      </c>
      <c r="O16" s="21" t="n"/>
      <c r="P16" s="21" t="n"/>
      <c r="Q16" s="21" t="n"/>
      <c r="R16" s="21" t="inlineStr">
        <is>
          <t>LOOP 1,LOOP N</t>
        </is>
      </c>
      <c r="S16" s="21" t="inlineStr">
        <is>
          <t>Products</t>
        </is>
      </c>
      <c r="T16" s="21" t="inlineStr">
        <is>
          <t>alessio.franconi87@gmail.com</t>
        </is>
      </c>
      <c r="U16" s="21" t="inlineStr">
        <is>
          <t>Sun Sep 18 2022 19:51:27 GMT+0100 (British Summer Time)</t>
        </is>
      </c>
      <c r="V16" s="21" t="n"/>
      <c r="W16" s="21" t="n"/>
      <c r="X16" s="21" t="n"/>
    </row>
    <row r="17" ht="75" customHeight="1" s="76">
      <c r="A17" s="21" t="inlineStr">
        <is>
          <t>service</t>
        </is>
      </c>
      <c r="B17" s="21" t="n">
        <v>214</v>
      </c>
      <c r="C17" s="21" t="inlineStr">
        <is>
          <t>Df Remanufacturing</t>
        </is>
      </c>
      <c r="D17" s="21" t="inlineStr">
        <is>
          <t>Df Maintenance</t>
        </is>
      </c>
      <c r="E17" s="21" t="inlineStr">
        <is>
          <t>Df Testing</t>
        </is>
      </c>
      <c r="F17" s="21" t="n"/>
      <c r="G17" s="21" t="n"/>
      <c r="H17" s="21" t="inlineStr">
        <is>
          <t>Design for Testing in a remanufacturing context involves designing products so that their components can be efficiently inspected and tested for condition, performance, and remaining useful life without the need for full disassembly. This includes designing component geometries that are accessible to non-destructive testing (NDT) methods such as ultrasonic inspection, X-ray, eddy current testing, and visual inspection. Test points, diagnostic ports, and sensor interfaces should be integrated into the product architecture.</t>
        </is>
      </c>
      <c r="I17" s="21" t="inlineStr">
        <is>
          <t>Design-for-testing (DfT) is a methodology in which the testing requirements are considered during the design phase of product development. The goal of DFT is to ensure that products can be easily and effectively tested during remanufacturing, so that any defects can be quickly identified and corrected. 
By incorporating DfT into the design process, manufacturers can improve the quality of their products and reduce the cost of remanufacturing. 
DfT includes both hardware and software elements. Hardware design for testing includes the development of test fixtures, test probes, and test equipment. Software design for testing includes the development of test programs, test data, and test cases.
New technologies are improving design for testing in the context of remanufacturing in several ways. For example, new sensor technologies can be used to more accurately detect defects in products, and new data analysis techniques can be used to more effectively identify trends in manufacturing processes. Additionally, new inspection technologies can be used to more accurately assess the condition of products and new test equipment can be used to more effectively test products for defects.</t>
        </is>
      </c>
      <c r="J17" s="21" t="inlineStr">
        <is>
          <t>Design for Testing is essential for products where component condition is difficult to assess visually — internal structural parts, electronic assemblies, sealed bearings, and pressurised systems. It is particularly valuable in aerospace, automotive, and medical device remanufacturing where regulatory compliance requires documented testing. The designer should map which components require testing, which NDT methods are appropriate, and ensure the product geometry supports these methods.</t>
        </is>
      </c>
      <c r="K17" s="21" t="inlineStr">
        <is>
          <t>Products designed for testing in remanufacturing feature: accessible inspection surfaces free of obstructions; integrated diagnostic ports or test points for electronic components; geometries compatible with standard NDT equipment; built-in condition indicators (wear markers, colour-change materials); and digital interfaces for reading embedded sensors or stored operational data.</t>
        </is>
      </c>
      <c r="L17" s="21" t="inlineStr">
        <is>
          <t>• Which components require testing before they can be cleared for remanufacturing?
• What non-destructive testing methods are appropriate for each component, and does the product design accommodate them?
• Can diagnostic data be stored on-board the product to provide the remanufacturer with operational history?
• Are test points accessible without significant disassembly?
• What are the pass/fail criteria for each testable component, and are they clearly documented?</t>
        </is>
      </c>
      <c r="M17" s="21" t="n">
        <v>108</v>
      </c>
      <c r="N17" s="21" t="inlineStr">
        <is>
          <t>Tant, K. M., Mulholland, A. J., Curtis, A., &amp; Ijomah, W. L. (2019). Design-for-testing for improved remanufacturability. Journal of Remanufacturing, 9(1), 61-72.</t>
        </is>
      </c>
      <c r="O17" s="21" t="n"/>
      <c r="P17" s="21" t="n"/>
      <c r="Q17" s="21" t="n"/>
      <c r="R17" s="21" t="inlineStr">
        <is>
          <t>LOOP 1,LOOP N</t>
        </is>
      </c>
      <c r="S17" s="21" t="inlineStr">
        <is>
          <t>Components,Products</t>
        </is>
      </c>
      <c r="T17" s="21" t="n"/>
      <c r="U17" s="21" t="n"/>
      <c r="V17" s="21" t="n"/>
      <c r="W17" s="21" t="n"/>
      <c r="X17" s="21" t="n"/>
    </row>
    <row r="18" ht="75" customHeight="1" s="76">
      <c r="A18" s="21" t="inlineStr">
        <is>
          <t>service</t>
        </is>
      </c>
      <c r="B18" s="21" t="n">
        <v>2016</v>
      </c>
      <c r="C18" s="21" t="inlineStr">
        <is>
          <t>Df Remanufacturing</t>
        </is>
      </c>
      <c r="D18" s="21" t="inlineStr">
        <is>
          <t>Df Modular Components</t>
        </is>
      </c>
      <c r="E18" s="21" t="inlineStr">
        <is>
          <t>Df Modular Components</t>
        </is>
      </c>
      <c r="F18" s="21" t="n"/>
      <c r="G18" s="21" t="n"/>
      <c r="H18" s="21" t="inlineStr">
        <is>
          <t>Design for Modular Components in remanufacturing involves structuring the product as a set of independent, self-contained functional modules connected through standardised interfaces. Each module can be independently removed, tested, repaired or replaced, and reinstalled without affecting other modules. The modular architecture enables selective remanufacturing — only the modules that need attention are processed, while functional modules are reused directly. This significantly reduces remanufacturing time and cost.</t>
        </is>
      </c>
      <c r="I18" s="21" t="inlineStr">
        <is>
          <t>Design for Modular Components is a strategic that involves creating products with interchangeable, replaceable, and independently functional units or modules. The modular design concept is instrumental in enhancing the longevity, adaptability, and repairability of products. Each module serves a specific function and can be easily connected or disconnected from the whole. This modular structure allows for easy customization, upgrades, and repairs.</t>
        </is>
      </c>
      <c r="J18" s="21" t="inlineStr">
        <is>
          <t>Modular component design is applicable across a wide range of remanufacturable products: automotive powertrains (engine block, turbocharger, fuel system as separate modules), consumer electronics (display, battery, camera, logic board), medical equipment (imaging sensor, processing unit, power supply), and industrial machinery (hydraulic system, control unit, mechanical drive). The designer should define module boundaries based on wear patterns, technology evolution rates, and functional independence.</t>
        </is>
      </c>
      <c r="K18" s="21" t="inlineStr">
        <is>
          <t>Modular products for remanufacturing feature: clearly defined functional modules with standardised interfaces; each module can be removed and reinstalled independently; modules can be tested and assessed as complete units; critical wear components are contained within easily replaceable modules; and module interfaces are designed for multiple connection-disconnection cycles without degradation.</t>
        </is>
      </c>
      <c r="L18" s="21" t="inlineStr">
        <is>
          <t>• What are the natural functional boundaries for modularisation in this product?
• Which modules are likely to wear out or become obsolete fastest, and how can they be made easiest to replace?
• Are module interfaces robust enough to withstand repeated disconnection and reconnection across multiple remanufacturing cycles?
• Can modules from different product generations be cross-compatible to extend the remanufacturing pool?
• What is the optimal module granularity — too many small modules increases interface complexity, too few reduces flexibility?</t>
        </is>
      </c>
      <c r="M18" s="21" t="n">
        <v>107</v>
      </c>
      <c r="N18" s="21" t="inlineStr">
        <is>
          <t>Newcomb, P. J., Bras, B., &amp; Rosen, D. W. (1998). Implications of modularity on product design for the life cycle. Journal of Mechanical Design, 120(3), 483–490.
Kimura, F., Kato, S., Hata, T., &amp; Masuda, T. (2001). Product modularization for parts reuse in inverse manufacturing. CIRP Annals, 50(1), 89–92.
Gu, P., &amp; Sosale, S. (1999). Product modularization for life cycle engineering. Robotics and Computer-Integrated Manufacturing, 15(5), 387–401.</t>
        </is>
      </c>
      <c r="O18" s="21" t="n"/>
      <c r="P18" s="21" t="n"/>
      <c r="Q18" s="21" t="n"/>
      <c r="R18" s="21" t="inlineStr">
        <is>
          <t>LOOP 1,LOOP N</t>
        </is>
      </c>
      <c r="S18" s="21" t="inlineStr">
        <is>
          <t>Components,Products,Systems</t>
        </is>
      </c>
      <c r="T18" s="21" t="n"/>
      <c r="U18" s="21" t="n"/>
      <c r="V18" s="21" t="n"/>
      <c r="W18" s="21" t="n"/>
      <c r="X18" s="21" t="n"/>
    </row>
    <row r="19" ht="75" customHeight="1" s="76">
      <c r="A19" s="21" t="inlineStr">
        <is>
          <t>service</t>
        </is>
      </c>
      <c r="B19" s="21" t="n">
        <v>2017</v>
      </c>
      <c r="C19" s="21" t="inlineStr">
        <is>
          <t>Df Remanufacturing</t>
        </is>
      </c>
      <c r="D19" s="21" t="inlineStr">
        <is>
          <t>Df Modular Components</t>
        </is>
      </c>
      <c r="E19" s="21" t="inlineStr">
        <is>
          <t>Df Interchangeability</t>
        </is>
      </c>
      <c r="F19" s="21" t="n"/>
      <c r="G19" s="21" t="n"/>
      <c r="H19" s="21" t="inlineStr">
        <is>
          <t>Applications:
Consumer Electronics: In devices like smartphones or laptops, where components such as batteries, screens, or storage can be interchanged.
Machinery: In industrial or agricultural machinery where parts like filters, engines, or hydraulic components can be interchanged.
Automotive: Cars designed with interchangeable parts allow for easier upgrades and repairs.
Challenges:
Design Limitations: Achieving interchangeability can sometimes limit the design and functionality of individual components.
Quality Control: Ensuring consistent quality across interchangeable components is crucial to maintain product performance and safety.</t>
        </is>
      </c>
      <c r="I19" s="21" t="inlineStr">
        <is>
          <t>The fundamental idea of this design strategy is to design components that can be easily exchanged with others of the same type or function. This exchangeability is crucial for maintaining the product's functionality over time, facilitating upgrades, and ensuring easy repair and maintenance.</t>
        </is>
      </c>
      <c r="J19" s="21" t="inlineStr">
        <is>
          <t>1. Standardized Interfaces: Components are designed with standardized connections or interfaces, allowing them to fit into a range of products seamlessly. This standardization is critical for ensuring that parts from different batches, models, or even different manufacturers can be used interchangeably.
2. Uniformity in Design: While individual components might perform different functions, their design incorporates uniform dimensions, fittings, and operational parameters. This uniformity ensures that one part can easily replace another without compatibility issues.
3. Simplicity and User-Friendly: The design aims to be user-friendly, enabling end-users to perform replacements or upgrades without requiring specialized tools or in-depth technical knowledge.</t>
        </is>
      </c>
      <c r="K19" s="21" t="inlineStr">
        <is>
          <t>Interchangeable components for remanufacturing are characterised by: standardised physical dimensions and connection interfaces across product variants and generations; identical functional performance regardless of which specific unit is installed; clear part numbering and version tracking for compatibility management; tolerance specifications that account for wear and reconditioning; and quality assurance processes that validate interchangeability after remanufacturing.</t>
        </is>
      </c>
      <c r="L19" s="21" t="inlineStr">
        <is>
          <t>How can we standardize components to ensure they are compatible across different models or product linesCan users easily identify, interchange, and use these components without specialized tools or knowledge?"
How does interchangeability extend the product's lifespan and contribute to its overall sustainability?
How can we maintain or enhance the product’s performance and reliability with interchangeable components?What are the implications of interchangeable design on manufacturing costs, supply chain management, and overall product economics?</t>
        </is>
      </c>
      <c r="M19" s="21" t="n">
        <v>105</v>
      </c>
      <c r="N19" s="21" t="inlineStr">
        <is>
          <t>Ito, Y. (2008). Modular design for machine tools. McGraw-Hill Education.
Fu, F., Chen, S., &amp; Sun, L. (2021). Revenue and cannibalization: The effect of interchangeable design confronted remanufacturing processing. Processes, 9(3), 497.</t>
        </is>
      </c>
      <c r="O19" s="21" t="n"/>
      <c r="P19" s="21" t="n"/>
      <c r="Q19" s="21" t="inlineStr">
        <is>
          <t>Design for Modularity;</t>
        </is>
      </c>
      <c r="R19" s="21" t="inlineStr">
        <is>
          <t>LOOP N</t>
        </is>
      </c>
      <c r="S19" s="21" t="inlineStr">
        <is>
          <t>Products</t>
        </is>
      </c>
      <c r="T19" s="21" t="inlineStr">
        <is>
          <t>alessio.franconi87@gmail.com</t>
        </is>
      </c>
      <c r="U19" s="21" t="inlineStr">
        <is>
          <t>Mon Feb 12 2024 12:29:32 GMT+0000 (Greenwich Mean Time)</t>
        </is>
      </c>
      <c r="V19" s="21" t="n"/>
      <c r="W19" s="21" t="n"/>
      <c r="X19" s="21" t="n"/>
    </row>
    <row r="20" ht="75" customHeight="1" s="76">
      <c r="A20" s="21" t="inlineStr">
        <is>
          <t>service</t>
        </is>
      </c>
      <c r="B20" s="21" t="n">
        <v>2018</v>
      </c>
      <c r="C20" s="21" t="inlineStr">
        <is>
          <t>Df Remanufacturing</t>
        </is>
      </c>
      <c r="D20" s="21" t="inlineStr">
        <is>
          <t>Df Modular Components</t>
        </is>
      </c>
      <c r="E20" s="21" t="inlineStr">
        <is>
          <t>Df Standardization</t>
        </is>
      </c>
      <c r="F20" s="21" t="n"/>
      <c r="G20" s="21" t="n"/>
      <c r="H20" s="21" t="inlineStr">
        <is>
          <t>Advantages:
Cost Efficiency: Reduced complexity in manufacturing and supply chain management can lead to significant cost savings.
Ease of Maintenance and Repair: Standardized components simplify maintenance and repair processes, as the same parts can be used across different products.
Sustainability: By reducing the variety of components produced, standardization can lead to less waste and more efficient use of resources.
Scalability: Standardized designs allow for scalability in production. As demand increases, it's easier to ramp up production without significant changes to the manufacturing process.
Challenges:
Innovation Constraints: Overemphasis on standardization might limit innovation, as designers might be restricted to using standard components.
Market Differentiation: Differentiating products in the market can be challenging if they are made up of standardized components.</t>
        </is>
      </c>
      <c r="I20" s="21" t="inlineStr">
        <is>
          <t>Design for Standardization is a strategic approach in product design and manufacturing that emphasizes the use of uniform, consistent components and processes across multiple products or product lines. This approach is particularly significant in enhancing manufacturing efficiency, ensuring product compatibility, and promoting sustainability.</t>
        </is>
      </c>
      <c r="J20" s="21" t="inlineStr">
        <is>
          <t xml:space="preserve">1. Uniform Components: Components are designed with standard dimensions, materials, and functionalities. This uniformity means that the same components can be used in different products, reducing the need for multiple, unique parts.
2. Consistent Manufacturing Processes: Standardization extends to manufacturing processes, ensuring that these processes are consistent across different products. This approach can lead to economies of scale and reduce manufacturing complexity.
3. Simplified Supply Chain: By reducing the variety of components, the supply chain is simplified, leading to efficient inventory management and potentially reducing costs related to storage and logistics.
4. Quality Control: Standardization aids in maintaining consistent quality across products, as the standardized components and processes are well-defined and tested.
</t>
        </is>
      </c>
      <c r="K20" s="21" t="inlineStr">
        <is>
          <t>Standardised design for remanufacturing features: uniform component dimensions and materials across the product range; common fastener types and sizes to minimise tool variety during disassembly; consistent interface specifications that enable cross-generational compatibility; standardised materials that simplify sorting, cleaning, and reconditioning processes; and compatibility with industry-wide standards where available.</t>
        </is>
      </c>
      <c r="L20" s="21" t="inlineStr">
        <is>
          <t>• Which components can be standardised across our product range without compromising performance differentiation?
• Can we adopt industry-standard interfaces and specifications to increase the pool of compatible components?
• What is the trade-off between standardisation and product differentiation in our market?
• How will standardised components be tracked and version-managed across multiple remanufacturing cycles?
• Can standardisation reduce our inventory of spare parts and simplify our reverse supply chain?</t>
        </is>
      </c>
      <c r="M20" s="21" t="n">
        <v>107</v>
      </c>
      <c r="N20" s="21" t="inlineStr">
        <is>
          <t>Ijomah, W. L., McMahon, C. A., Hammond, G. P., &amp; Newman, S. T. (2007). Development of design for remanufacturing guidelines to support sustainable manufacturing. Robotics and Computer-Integrated Manufacturing, 23(6), 712–719.
Soh, S. L., Ong, S. K., &amp; Nee, A. Y. C. (2014). Design for disassembly for remanufacturing: Methodology and technology. Procedia CIRP, 15, 407–412.</t>
        </is>
      </c>
      <c r="O20" s="21" t="n"/>
      <c r="P20" s="21" t="n"/>
      <c r="Q20" s="21" t="n"/>
      <c r="R20" s="21" t="inlineStr">
        <is>
          <t>LOOP 1,LOOP N</t>
        </is>
      </c>
      <c r="S20" s="21" t="inlineStr">
        <is>
          <t>Components,Products</t>
        </is>
      </c>
      <c r="T20" s="21" t="n"/>
      <c r="U20" s="21" t="n"/>
      <c r="V20" s="21" t="n"/>
      <c r="W20" s="21" t="n"/>
      <c r="X20" s="21" t="n"/>
    </row>
    <row r="21" ht="75" customHeight="1" s="76">
      <c r="A21" s="21" t="inlineStr">
        <is>
          <t>service</t>
        </is>
      </c>
      <c r="B21" s="21" t="n">
        <v>2019</v>
      </c>
      <c r="C21" s="21" t="inlineStr">
        <is>
          <t>Df Remanufacturing</t>
        </is>
      </c>
      <c r="D21" s="21" t="inlineStr">
        <is>
          <t>Df Modular Components</t>
        </is>
      </c>
      <c r="E21" s="21" t="inlineStr">
        <is>
          <t>Df Simplicity and Accessibility</t>
        </is>
      </c>
      <c r="F21" s="21" t="n"/>
      <c r="G21" s="21" t="n"/>
      <c r="H21" s="21" t="inlineStr">
        <is>
          <t>Advantages:
Extended Product Life: By making products easier to remanufacture, their lifespan can be significantly extended.
Cost-Effective Remanufacturing: Simplification reduces the time and cost associated with the remanufacturing process.
Reduced Environmental Impact: Facilitating remanufacturing contributes to waste reduction and more efficient use of resources, aligning with sustainability goals.
Increased Product Value: Products designed for simplicity and accessibility in remanufacturing can maintain higher residual value.
Applications:
Electronics: Designing devices like smartphones or laptops with easily accessible and replaceable components for remanufacturing.
Automotive: Cars designed with parts that can be easily accessed, repaired, or replaced during the remanufacturing process.
Machinery: Industrial or commercial machinery where ease of maintenance and refurbishment is crucial.
Challenges:
Balancing Simplicity with Functionality: Ensuring that the simplification of design does not compromise the product’s performance or functionality.
Consumer Perception: Overcoming consumer misconceptions that simpler designs might equate to lower quality or functionality.</t>
        </is>
      </c>
      <c r="I21" s="21" t="inlineStr">
        <is>
          <t>Design for Simplicity and Accessibility strategy focuses on creating products that are straightforward to disassemble, refurbish, and reassemble. This approach is critical in circular design, as it facilitates the remanufacturing process and renew.</t>
        </is>
      </c>
      <c r="J21" s="21" t="inlineStr">
        <is>
          <t>1. Simplification of Design: Products are designed with fewer parts and less complexity, which makes disassembly and reassembly easier and less time-consuming.
2. Standardized Components: Using standardized components that can be easily replaced or upgraded during the remanufacturing process.
3. Accessible and Replaceable Parts: Ensuring that parts most likely to wear out or need replacement are easily accessible and can be replaced without disassembling the entire product.
4. Clear Documentation and Labeling: Providing clear instructions and labeling for disassembly and reassembly, which is crucial for efficient remanufacturing.</t>
        </is>
      </c>
      <c r="K21" s="21" t="inlineStr">
        <is>
          <t>Products designed for simplicity and accessibility in remanufacturing feature: minimal part count achieved through functional integration; intuitive assembly/disassembly sequences that follow a clear logic; all components accessible without specialised tools or complex procedures; clear visual cues and markings that guide the disassembly and reassembly process; and component layouts that avoid tight packaging or hidden fasteners.</t>
        </is>
      </c>
      <c r="L21" s="21" t="inlineStr">
        <is>
          <t>• Can the product be disassembled and reassembled by a technician without specialist training?
• What is the minimum number of distinct parts needed to maintain product functionality?
• Are all fasteners and connection points visible and accessible without removing unrelated components?
• Can the reassembly sequence be completed correctly without reference to detailed instructions?
• Does the product design avoid any "traps" — hidden fasteners, non-obvious snap-fits, or components that appear removable but are permanently attached?</t>
        </is>
      </c>
      <c r="M21" s="21" t="n">
        <v>107</v>
      </c>
      <c r="N21" s="21" t="inlineStr">
        <is>
          <t>Sundin, E. (2004). Product and Process Design for Successful Remanufacturing. PhD thesis, Linköping University.
Hatcher, G. D., Ijomah, W. L., &amp; Windmill, J. F. C. (2014). A framework for the design of remanufactured products. Procedia CIRP, 15, 433–438.</t>
        </is>
      </c>
      <c r="O21" s="21" t="n"/>
      <c r="P21" s="21" t="n"/>
      <c r="Q21" s="21" t="n"/>
      <c r="R21" s="21" t="inlineStr">
        <is>
          <t>LOOP 1,LOOP N</t>
        </is>
      </c>
      <c r="S21" s="21" t="inlineStr">
        <is>
          <t>Components,Products</t>
        </is>
      </c>
      <c r="T21" s="21" t="n"/>
      <c r="U21" s="21" t="n"/>
      <c r="V21" s="21" t="n"/>
      <c r="W21" s="21" t="n"/>
      <c r="X21" s="21" t="n"/>
    </row>
    <row r="22" ht="75" customHeight="1" s="76">
      <c r="A22" s="21" t="inlineStr">
        <is>
          <t>resource</t>
        </is>
      </c>
      <c r="B22" s="21" t="n">
        <v>280</v>
      </c>
      <c r="C22" s="21" t="inlineStr">
        <is>
          <t>Df Remanufacturing</t>
        </is>
      </c>
      <c r="D22" s="21" t="inlineStr">
        <is>
          <t>Df Remanufacturability</t>
        </is>
      </c>
      <c r="E22" s="21" t="inlineStr">
        <is>
          <t>Df Core Durability Design</t>
        </is>
      </c>
      <c r="F22" s="21" t="n">
        <v>3</v>
      </c>
      <c r="G22" s="21" t="inlineStr">
        <is>
          <t>medium</t>
        </is>
      </c>
      <c r="H22" s="21" t="inlineStr">
        <is>
          <t>Design product cores to withstand multiple remanufacturing cycles without structural degradation. Specify material properties and construction techniques enabling cores to be cleaned, re-machined, and reassembled multiple times. Design structural elements with fatigue resistance far exceeding single-use assumptions. Conduct durability testing simulating multiple remanufacturing cycles to validate core design assumptions.</t>
        </is>
      </c>
      <c r="I22" s="21" t="inlineStr">
        <is>
          <t>Products designed for single-use fail during subsequent remanufacturing cycles when re-machining, cleaning, and reassembly processes create stresses exceeding design assumptions. Multi-cycle durability requires fundamental design shifts toward robust core materials and construction. Cores designed for multiple cycles create conditions where material value recovery spans 5-10 product lifecycles rather than single cycles.
Core durability design extends material value retention and reduces material throughput compared to single-cycle products. Manufacturing processes optimized for single cycles often become bottlenecks during remanufacturing; robust core design prevents remanufactured product failure during operation.</t>
        </is>
      </c>
      <c r="J22" s="21" t="inlineStr">
        <is>
          <t>Critical for high-value equipment where remanufacturing economics justify multi-cycle investment (industrial machinery, automotive engines, hydraulic components).</t>
        </is>
      </c>
      <c r="K22" s="21" t="inlineStr">
        <is>
          <t>Cores feature robust material selections with high fatigue resistance. Structural designs include safety margins for repeated remanufacturing stresses. Construction methods avoid material damage during cleaning and re-machining.</t>
        </is>
      </c>
      <c r="L22" s="21" t="inlineStr">
        <is>
          <t>• How many remanufacturing cycles should core designs support before end-of-life?
• What fatigue testing validates core durability across multiple cycles?
• How do multi-cycle material property requirements conflict with original performance specifications?
• What cleaning and machining processes safely operate on aged cores without material degradation?
• How will core durability tracking systems ensure quality through multiple remanufacturing cycles?</t>
        </is>
      </c>
      <c r="M22" s="21" t="n">
        <v>175</v>
      </c>
      <c r="N22" s="21" t="inlineStr">
        <is>
          <t>Sundin, E., Lindahl, M., &amp; Ijomah, W. (2009). Product design for successful remanufacturing. In Handbook of Research in Sustainable Manufacturing. IGI Global.
Ijomah, W. L., McMahon, C. A., Hammond, G. P., &amp; Newman, S. T. (2007). Development of design for remanufacturing guidelines to support sustainable product design. Journal of Cleaner Production, 15(4), 404-416.
Lund, R. T. (1983). Remanufacturing: the experience of the United States and implications for developing countries. World Bank Technical Paper, 30.</t>
        </is>
      </c>
      <c r="O22" s="21" t="n"/>
      <c r="P22" s="21" t="n"/>
      <c r="Q22" s="21" t="n"/>
      <c r="R22" s="21" t="inlineStr">
        <is>
          <t>LOOP 1,LOOP N</t>
        </is>
      </c>
      <c r="S22" s="21" t="inlineStr">
        <is>
          <t>Materials,Components,Products</t>
        </is>
      </c>
      <c r="T22" s="21" t="n"/>
      <c r="U22" s="21" t="n"/>
      <c r="V22" s="21" t="n"/>
      <c r="W22" s="21" t="n"/>
      <c r="X22" s="21" t="n"/>
    </row>
    <row r="23" ht="75" customHeight="1" s="76">
      <c r="A23" s="21" t="inlineStr">
        <is>
          <t>resource</t>
        </is>
      </c>
      <c r="B23" s="21" t="n">
        <v>281</v>
      </c>
      <c r="C23" s="21" t="inlineStr">
        <is>
          <t>Df Remanufacturing</t>
        </is>
      </c>
      <c r="D23" s="21" t="inlineStr">
        <is>
          <t>Df Remanufacturability</t>
        </is>
      </c>
      <c r="E23" s="21" t="inlineStr">
        <is>
          <t>Df Layer-Based Architecture</t>
        </is>
      </c>
      <c r="F23" s="21" t="n">
        <v>3</v>
      </c>
      <c r="G23" s="21" t="inlineStr">
        <is>
          <t>medium</t>
        </is>
      </c>
      <c r="H23" s="21" t="inlineStr">
        <is>
          <t>Design products with distinct layers separating sacrificial surfaces, serviceable components, and durable cores. Create outer layers designed to be stripped, cleaned, or replaced during remanufacturing without affecting core integrity. Design intermediate layers containing wearing components replaceable independently. Specify interface designs enabling clean layer separation for processing.</t>
        </is>
      </c>
      <c r="I23" s="21" t="inlineStr">
        <is>
          <t>Integrated product designs where wear and degradation spread throughout material matrices create complexity and inefficiency during remanufacturing. Layered architectures concentrate degradation in outer sacrificial layers while preserving high-value cores. This stratification enables selective component replacement and efficient material recovery.
Layer-based designs create conditions for specialized remanufacturing processes optimized for each layer type. Surface cleaning processes can be harsh without damaging durable cores. Architectural separation enables parallel processing of different layers by specialized equipment.</t>
        </is>
      </c>
      <c r="J23" s="21" t="inlineStr">
        <is>
          <t>Ideal for products experiencing wear patterns (surface corrosion, abrasion, cosmetic degradation) while maintaining functional cores.</t>
        </is>
      </c>
      <c r="K23" s="21" t="inlineStr">
        <is>
          <t>Products feature distinct outer sacrificial layers, intermediate serviceable layers, and protected durable cores. Interface designs enable clean layer separation without damage to underlying layers. Material compatibility between layers supports efficient remanufacturing processes.</t>
        </is>
      </c>
      <c r="L23" s="21" t="inlineStr">
        <is>
          <t>• How can layered architectures be designed without reducing product performance or increasing cost?
• What interface technologies enable clean layer separation during remanufacturing?
• How are sacrificial layer materials selected to balance cost with protection?
• What specialized equipment enables efficient processing of different layers?
• How does layering architecture affect product appearance and consumer perception?</t>
        </is>
      </c>
      <c r="M23" s="21" t="n">
        <v>175</v>
      </c>
      <c r="N23" s="21" t="inlineStr">
        <is>
          <t>Bakker, C., Wang, F., Huisman, J., &amp; den Hollander, M. (2014). Products that go round: exploring product life extension through design. Journal of Cleaner Production, 69, 10-16.
Sundin, E., &amp; Bras, B. (2005). Making functional products sustainable through service modularity design. Journal of Cleaner Production, 13(10-11), 993-1006.
Vezzoli, C., Ceschin, F., Diehl, J. C., &amp; Kohtala, C. (2015). Why have 'Sustainable Product-Service Systems' not been widely implemented? Meeting new design challenges to achieve societal sustainability.</t>
        </is>
      </c>
      <c r="O23" s="21" t="n"/>
      <c r="P23" s="21" t="n"/>
      <c r="Q23" s="21" t="n"/>
      <c r="R23" s="21" t="inlineStr">
        <is>
          <t>LOOP 1,LOOP N</t>
        </is>
      </c>
      <c r="S23" s="21" t="inlineStr">
        <is>
          <t>Materials,Components,Products</t>
        </is>
      </c>
      <c r="T23" s="21" t="n"/>
      <c r="U23" s="21" t="n"/>
      <c r="V23" s="21" t="n"/>
      <c r="W23" s="21" t="n"/>
      <c r="X23" s="21" t="n"/>
    </row>
    <row r="24" ht="75" customHeight="1" s="76">
      <c r="A24" s="21" t="inlineStr">
        <is>
          <t>resource</t>
        </is>
      </c>
      <c r="B24" s="21" t="n">
        <v>282</v>
      </c>
      <c r="C24" s="21" t="inlineStr">
        <is>
          <t>Df Remanufacturing</t>
        </is>
      </c>
      <c r="D24" s="21" t="inlineStr">
        <is>
          <t>Df Remanufacturability</t>
        </is>
      </c>
      <c r="E24" s="21" t="inlineStr">
        <is>
          <t>Df Remanufacturing Process Integration</t>
        </is>
      </c>
      <c r="F24" s="21" t="n">
        <v>3</v>
      </c>
      <c r="G24" s="21" t="inlineStr">
        <is>
          <t>medium</t>
        </is>
      </c>
      <c r="H24" s="21" t="inlineStr">
        <is>
          <t>Design products with remanufacturing processes specifically in mind, enabling efficient cleaning, machining, inspection, and reassembly. Specify surface finishes and material conditions surviving industrial cleaning processes. Design dimensions and tolerances accommodating re-machining with wear compensation. Create disassembly paths minimizing process steps and labour intensity. Design inspection points enabling non-destructive quality verification.</t>
        </is>
      </c>
      <c r="I24" s="21" t="inlineStr">
        <is>
          <t>Products designed without considering remanufacturing processes require expensive custom engineering and labour during remanufacturing cycles. Design-for-remanufacturing integration reduces remanufacturing labour intensity and costs while improving quality consistency. Process-integrated designs enable automation of remanufacturing procedures, reducing costs and variability.</t>
        </is>
      </c>
      <c r="J24" s="21" t="inlineStr">
        <is>
          <t>Essential for all products targeting multiple remanufacturing cycles, particularly high-volume equipment.</t>
        </is>
      </c>
      <c r="K24" s="21" t="inlineStr">
        <is>
          <t>Products feature surfaces tolerant to industrial cleaning processes without damage. Dimensions and tolerances allow re-machining compensation. Clear disassembly procedures documented in product design. Non-destructive inspection points integrated into product architecture.</t>
        </is>
      </c>
      <c r="L24" s="21" t="inlineStr">
        <is>
          <t>• What surface specifications survive industrial cleaning without degradation or cost penalty?
• How can dimensional tolerance design accommodate re-machining without excessive material removal?
• What disassembly path designs minimize procedural complexity and labour requirements?
• How will remanufacturing process requirements be documented and communicated to operations?
• What automation equipment can be designed into products to enable rapid remanufacturing?</t>
        </is>
      </c>
      <c r="M24" s="21" t="n">
        <v>175</v>
      </c>
      <c r="N24" s="21" t="inlineStr">
        <is>
          <t>Ijomah, W. L., McMahon, C. A., Hammond, G. P., &amp; Newman, S. T. (2007). Development of design for remanufacturing guidelines to support sustainable product design. Journal of Cleaner Production, 15(4), 404-416.
Sundin, E., Lindahl, M., &amp; Ijomah, W. (2009). Product design for successful remanufacturing. In Handbook of Research in Sustainable Manufacturing. IGI Global.
Lund, R. T. (1983). Remanufacturing: the experience of the United States and implications for developing countries. World Bank Technical Paper, 30.</t>
        </is>
      </c>
      <c r="O24" s="21" t="n"/>
      <c r="P24" s="21" t="n"/>
      <c r="Q24" s="21" t="n"/>
      <c r="R24" s="21" t="inlineStr">
        <is>
          <t>LOOP 1,LOOP N</t>
        </is>
      </c>
      <c r="S24" s="21" t="inlineStr">
        <is>
          <t>Products,Processes</t>
        </is>
      </c>
      <c r="T24" s="21" t="n"/>
      <c r="U24" s="21" t="n"/>
      <c r="V24" s="21" t="n"/>
      <c r="W24" s="21" t="n"/>
      <c r="X24" s="21" t="n"/>
    </row>
    <row r="25" ht="75" customHeight="1" s="76">
      <c r="A25" s="21" t="inlineStr">
        <is>
          <t>resource</t>
        </is>
      </c>
      <c r="B25" s="21" t="n">
        <v>283</v>
      </c>
      <c r="C25" s="21" t="inlineStr">
        <is>
          <t>Df Remanufacturing</t>
        </is>
      </c>
      <c r="D25" s="21" t="inlineStr">
        <is>
          <t>Df Remanufacturability</t>
        </is>
      </c>
      <c r="E25" s="21" t="inlineStr">
        <is>
          <t>Df Material Passport</t>
        </is>
      </c>
      <c r="F25" s="21" t="n">
        <v>3</v>
      </c>
      <c r="G25" s="21" t="inlineStr">
        <is>
          <t>medium</t>
        </is>
      </c>
      <c r="H25" s="21" t="inlineStr">
        <is>
          <t>Embed material composition data directly into products through material passports (digital or physical documentation). Document all component materials, material grades, and composition percentages. Include information about hazardous substances and material compatibility for remanufacturing. Design product marking systems enabling rapid material identification and disassembly decision-making.</t>
        </is>
      </c>
      <c r="I25" s="21" t="inlineStr">
        <is>
          <t>Remanufacturing operations require detailed material knowledge enabling informed processing decisions. Hidden material composition creates risks of incompatible processing (corrosion from chemical cleaners, incompatible re-machining) damaging core value. Material passports enable remanufacturers to optimize processes for specific material combinations.
Embedded material information reduces uncertainty and enables fast decision-making. Hazardous substance documentation prevents worker exposure and contamination during processing. Material compatibility information optimizes remanufacturing economics by enabling specialized process selection.</t>
        </is>
      </c>
      <c r="J25" s="21" t="inlineStr">
        <is>
          <t>Critical for complex products with multiple material types and specialized components requiring careful handling.</t>
        </is>
      </c>
      <c r="K25" s="21" t="inlineStr">
        <is>
          <t>Products feature material identification marks, QR codes linking to material documentation, or embedded passports. Material information includes composition percentages, material grades, and hazardous substance data. Digital platforms maintain historical material information.</t>
        </is>
      </c>
      <c r="L25" s="21" t="inlineStr">
        <is>
          <t>• What material information is essential for remanufacturing decision-making without excessive documentation?
• How will material passports be maintained and updated through product modifications?
• What systems ensure material information accessibility for future remanufacturers?
• How can embedded material data be protected from degradation through product lifecycles?
• What standardization of material documentation enables consistent remanufacturer interpretation?</t>
        </is>
      </c>
      <c r="M25" s="21" t="n">
        <v>176</v>
      </c>
      <c r="N25" s="21" t="inlineStr">
        <is>
          <t>Allwood, J. M., Ashby, M. F., Gutowski, T. G., &amp; Worrell, E. (2013). Material efficiency: providing material for society. Annual Review of Environment and Resources, 38, 575-600.
Bocken, N. M., de Pauw, I., Bakker, C., &amp; van der Grinten, B. (2016). Product design and business model strategies for a circular economy. Journal of Industrial and Production Engineering, 33(5), 308-320.
Geissdoerfer, M., Savaget, P., Bocken, N. M., &amp; Hultink, E. J. (2017). The Circular Economy–A new sustainability paradigm. Journal of Cleaner Production, 143, 757-768.</t>
        </is>
      </c>
      <c r="O25" s="21" t="n"/>
      <c r="P25" s="21" t="n"/>
      <c r="Q25" s="21" t="n"/>
      <c r="R25" s="21" t="inlineStr">
        <is>
          <t>LOOP 1,LOOP N</t>
        </is>
      </c>
      <c r="S25" s="21" t="inlineStr">
        <is>
          <t>Materials,Components,Products</t>
        </is>
      </c>
      <c r="T25" s="21" t="n"/>
      <c r="U25" s="21" t="n"/>
      <c r="V25" s="21" t="n"/>
      <c r="W25" s="21" t="n"/>
      <c r="X25" s="21" t="n"/>
    </row>
    <row r="26" ht="75" customHeight="1" s="76">
      <c r="A26" s="21" t="inlineStr">
        <is>
          <t>logistics</t>
        </is>
      </c>
      <c r="B26" s="21" t="n">
        <v>284</v>
      </c>
      <c r="C26" s="21" t="inlineStr">
        <is>
          <t>Df Remanufacturing</t>
        </is>
      </c>
      <c r="D26" s="21" t="inlineStr">
        <is>
          <t>Df Remanufactured Distribution</t>
        </is>
      </c>
      <c r="E26" s="21" t="inlineStr">
        <is>
          <t>Df OEM Remanufactured Branding</t>
        </is>
      </c>
      <c r="F26" s="21" t="n">
        <v>3</v>
      </c>
      <c r="G26" s="21" t="inlineStr">
        <is>
          <t>medium</t>
        </is>
      </c>
      <c r="H26" s="21" t="inlineStr">
        <is>
          <t>Develop branded product lines clearly marking remanufactured products as official manufacturer remanufactures. Create distinctive packaging and labelling differentiating OEM remanufactured products from new or third-party refurbished products. Display OEM certification and quality assurances prominently. Communicate remanufacturing processes and quality standards in marketing materials.</t>
        </is>
      </c>
      <c r="I26" s="21" t="inlineStr">
        <is>
          <t>Third-party remanufactured products lack manufacturer quality assurance and market credibility. OEM remanufactured branding establishes quality accountability while capturing value that independent remanufacturers cannot monetize. Official branding prevents consumer confusion between OEM remanufactured and lower-quality alternatives.
Manufacturer branding for remanufactured products creates market conditions supporting higher prices and premium positioning. OEM remanufactured lines become profit centers where manufacturers control quality and market positioning. Branded remanufactured products enable premium pricing reflecting comprehensive quality assurance.</t>
        </is>
      </c>
      <c r="J26" s="21" t="inlineStr">
        <is>
          <t>Essential for OEM market positioning and value capture in remanufactured product markets.</t>
        </is>
      </c>
      <c r="K26" s="21" t="inlineStr">
        <is>
          <t>Remanufactured products feature OEM logos, distinctive packaging, and quality certifications. Marketing materials clearly identify products as manufacturer remanufactured. Packaging matches or approaches new-product branding standards.</t>
        </is>
      </c>
      <c r="L26" s="21" t="inlineStr">
        <is>
          <t>• How will OEM remanufactured branding differ visually from new products without appearing inferior?
• What quality assurances support OEM branding credibility?
• How will OEM remanufactured products be positioned relative to new products in marketing?
• What distribution channels best support OEM remanufactured branding strategy?
• How will OEM branding prevent confusion with third-party refurbished alternatives?</t>
        </is>
      </c>
      <c r="M26" s="21" t="n">
        <v>177</v>
      </c>
      <c r="N26" s="21" t="inlineStr">
        <is>
          <t>Hazen, B. T., Mollenkopf, D. A., &amp; Wang, Y. (2017). Remanufacturing for the circular economy: an examination of consumer switching behavior. Business Strategy and the Environment, 26(4), 451-464.
Lacy, P., Rutqvist, J., &amp; BuddPress, B. (2015). Waste to wealth: the circular economy advantage. Accenture.
Tukker, A. (2015). Product services for a resource-efficient and circular economy–a review. Journal of Cleaner Production, 97, 76-91.</t>
        </is>
      </c>
      <c r="O26" s="21" t="n"/>
      <c r="P26" s="21" t="n"/>
      <c r="Q26" s="21" t="n"/>
      <c r="R26" s="21" t="inlineStr">
        <is>
          <t>LOOP N,LAST LOOP</t>
        </is>
      </c>
      <c r="S26" s="21" t="inlineStr">
        <is>
          <t>Products,Processes,Systems</t>
        </is>
      </c>
      <c r="T26" s="21" t="n"/>
      <c r="U26" s="21" t="n"/>
      <c r="V26" s="21" t="n"/>
      <c r="W26" s="21" t="n"/>
      <c r="X26" s="21" t="n"/>
    </row>
    <row r="27" ht="75" customHeight="1" s="76">
      <c r="A27" s="21" t="inlineStr">
        <is>
          <t>logistics</t>
        </is>
      </c>
      <c r="B27" s="21" t="n">
        <v>285</v>
      </c>
      <c r="C27" s="21" t="inlineStr">
        <is>
          <t>Df Remanufacturing</t>
        </is>
      </c>
      <c r="D27" s="21" t="inlineStr">
        <is>
          <t>Df Remanufactured Distribution</t>
        </is>
      </c>
      <c r="E27" s="21" t="inlineStr">
        <is>
          <t>Df Performance Certification</t>
        </is>
      </c>
      <c r="F27" s="21" t="n">
        <v>3</v>
      </c>
      <c r="G27" s="21" t="inlineStr">
        <is>
          <t>medium</t>
        </is>
      </c>
      <c r="H27" s="21" t="inlineStr">
        <is>
          <t>Establish formal testing and certification procedures documenting remanufactured product performance. Conduct standardized functional testing, durability assessment, and safety validation. Create visible certification documentation including test results and performance data. Display performance specifications achieved during certification testing.</t>
        </is>
      </c>
      <c r="I27" s="21" t="inlineStr">
        <is>
          <t>Remanufactured products manufactured to original specifications require certified testing demonstrating performance parity with new products. Testing-based certification overcomes consumer skepticism about remanufactured quality. Standardized testing protocols enable consistent performance representation across different remanufactured product types.</t>
        </is>
      </c>
      <c r="J27" s="21" t="inlineStr">
        <is>
          <t>Critical for safety-critical products, performance-dependent applications, and high-value equipment.</t>
        </is>
      </c>
      <c r="K27" s="21" t="inlineStr">
        <is>
          <t>Remanufactured products include visible certification marks and test result documentation. Performance specifications clearly documented and comparable to new products. Testing procedures documented and periodically validated.</t>
        </is>
      </c>
      <c r="L27" s="21" t="inlineStr">
        <is>
          <t>• What testing procedures provide sufficient performance confidence without excessive cost?
• How will test procedures be standardized across different product variants?
• What performance specifications should match new products versus accepting minor variations?
• How will certification be maintained as products age through inventory?
• What third-party certification validates testing procedures and prevents certification fraud?</t>
        </is>
      </c>
      <c r="M27" s="21" t="n">
        <v>177</v>
      </c>
      <c r="N27" s="21" t="inlineStr">
        <is>
          <t>Ijomah, W. L., McMahon, C. A., Hammond, G. P., &amp; Newman, S. T. (2007). Development of design for remanufacturing guidelines to support sustainable product design. Journal of Cleaner Production, 15(4), 404-416.
Sundin, E., &amp; Bras, B. (2005). Making functional products sustainable through service modularity design. Journal of Cleaner Production, 13(10-11), 993-1006.
Lund, R. T. (1983). Remanufacturing: the experience of the United States and implications for developing countries. World Bank Technical Paper, 30.</t>
        </is>
      </c>
      <c r="O27" s="21" t="n"/>
      <c r="P27" s="21" t="n"/>
      <c r="Q27" s="21" t="n"/>
      <c r="R27" s="21" t="inlineStr">
        <is>
          <t>LOOP N,LAST LOOP</t>
        </is>
      </c>
      <c r="S27" s="21" t="inlineStr">
        <is>
          <t>Products,Processes</t>
        </is>
      </c>
      <c r="T27" s="21" t="n"/>
      <c r="U27" s="21" t="n"/>
      <c r="V27" s="21" t="n"/>
      <c r="W27" s="21" t="n"/>
      <c r="X27" s="21" t="n"/>
    </row>
    <row r="28" ht="75" customHeight="1" s="76">
      <c r="A28" s="21" t="inlineStr">
        <is>
          <t>logistics</t>
        </is>
      </c>
      <c r="B28" s="21" t="n">
        <v>286</v>
      </c>
      <c r="C28" s="21" t="inlineStr">
        <is>
          <t>Df Remanufacturing</t>
        </is>
      </c>
      <c r="D28" s="21" t="inlineStr">
        <is>
          <t>Df Remanufactured Distribution</t>
        </is>
      </c>
      <c r="E28" s="21" t="inlineStr">
        <is>
          <t>Df Core Exchange Logistics</t>
        </is>
      </c>
      <c r="F28" s="21" t="n">
        <v>3</v>
      </c>
      <c r="G28" s="21" t="inlineStr">
        <is>
          <t>medium</t>
        </is>
      </c>
      <c r="H28" s="21" t="inlineStr">
        <is>
          <t>Design logistics systems where used cores are collected during product delivery, combining forward logistics (new remanufactured product) with reverse logistics (used core return). Develop packaging systems protecting both new products and collecting used cores. Create incentive structures (core deposits, exchange credits) encouraging core return participation. Coordinate delivery and collection schedules optimizing logistics efficiency.</t>
        </is>
      </c>
      <c r="I28" s="21" t="inlineStr">
        <is>
          <t>Separate forward and reverse logistics create inefficiencies and costs preventing economic remanufacturing viability. Integrated core exchange logistics capture used products when new ones are delivered, creating bidirectional logistics minimizing empty vehicle return trips. Exchange logistics create automatic core returns reducing collection barriers.
Core deposits create financial incentives for responsible return behaviour. Integrated logistics enable operational efficiency where remanufacturing becomes self-sustaining without requiring separate recovery infrastructure. Exchange-based systems create market conditions where product cores become valuable assets rather than waste.</t>
        </is>
      </c>
      <c r="J28" s="21" t="inlineStr">
        <is>
          <t>Essential for high-value equipment where automatic core return ensures reliable feedstock supply.</t>
        </is>
      </c>
      <c r="K28" s="21" t="inlineStr">
        <is>
          <t>Products designed with protective cases enabling safe bidirectional transport. Logistics systems coordinate new product delivery with used core collection. Core deposit systems create financial incentives and tracking mechanisms.</t>
        </is>
      </c>
      <c r="L28" s="21" t="inlineStr">
        <is>
          <t>• How will core exchange logistics be coordinated without disrupting new product delivery?
• What core deposit levels create sufficient incentive without excessive financial burden?
• How will logistics systems ensure core quality preservation during return transport?
• What tracking systems ensure core accountability and complete return verification?
• How will core exchange logistics scale to support distributed delivery networks?</t>
        </is>
      </c>
      <c r="M28" s="21" t="n">
        <v>178</v>
      </c>
      <c r="N28" s="21" t="inlineStr">
        <is>
          <t>Rogers, D. S., &amp; Tibben-Lembke, R. S. (2001). An examination of reverse logistics practices. Journal of Business Logistics, 22(2), 129-148.
Sundin, E., &amp; Bras, B. (2005). Making functional products sustainable through service modularity design. Journal of Cleaner Production, 13(10-11), 993-1006.
Lund, R. T. (1983). Remanufacturing: the experience of the United States and implications for developing countries. World Bank Technical Paper, 30.</t>
        </is>
      </c>
      <c r="O28" s="21" t="n"/>
      <c r="P28" s="21" t="n"/>
      <c r="Q28" s="21" t="n"/>
      <c r="R28" s="21" t="inlineStr">
        <is>
          <t>LOOP N,LAST LOOP</t>
        </is>
      </c>
      <c r="S28" s="21" t="inlineStr">
        <is>
          <t>Products,Processes,Systems</t>
        </is>
      </c>
      <c r="T28" s="21" t="n"/>
      <c r="U28" s="21" t="n"/>
      <c r="V28" s="21" t="n"/>
      <c r="W28" s="21" t="n"/>
      <c r="X28" s="21" t="n"/>
    </row>
    <row r="29" ht="75" customHeight="1" s="76">
      <c r="A29" s="21" t="inlineStr">
        <is>
          <t>sale</t>
        </is>
      </c>
      <c r="B29" s="21" t="n">
        <v>287</v>
      </c>
      <c r="C29" s="21" t="inlineStr">
        <is>
          <t>Df Remanufacturing</t>
        </is>
      </c>
      <c r="D29" s="21" t="inlineStr">
        <is>
          <t>Df Remanufactured Product Positioning</t>
        </is>
      </c>
      <c r="E29" s="21" t="inlineStr">
        <is>
          <t>Df Performance Equivalence Labelling</t>
        </is>
      </c>
      <c r="F29" s="21" t="n">
        <v>3</v>
      </c>
      <c r="G29" s="21" t="inlineStr">
        <is>
          <t>medium</t>
        </is>
      </c>
      <c r="H29" s="21" t="inlineStr">
        <is>
          <t>Create visible labelling and marketing materials documenting performance parity between remanufactured and new products. Display test data showing remanufactured products meeting identical performance specifications as new products. Include comparison data addressing common consumer concerns about remanufactured quality. Create clear, accessible communication about what performance equivalence means.</t>
        </is>
      </c>
      <c r="I29" s="21" t="inlineStr">
        <is>
          <t>Consumer perception of remanufactured products is often dominated by age assumptions (older = worse) rather than actual performance capability. Performance equivalence labelling overcomes this perception gap by providing objective evidence. Clear performance documentation enables consumers to make rational purchasing decisions based on actual capabilities rather than age bias.
Performance data communicates confidence manufacturers have in remanufactured products. Visible equivalence information creates conditions where remanufactured products compete fairly with new products on performance basis. Test-based labelling builds credibility that simple marketing claims cannot achieve.</t>
        </is>
      </c>
      <c r="J29" s="21" t="inlineStr">
        <is>
          <t>Critical for all remanufactured products where performance equivalence claims require substantiation.</t>
        </is>
      </c>
      <c r="K29" s="21" t="inlineStr">
        <is>
          <t>Products display clear performance equivalence labelling with supporting test data. Marketing materials document performance specifications and testing procedures. Comparison information addresses specific consumer concerns about age-related degradation.</t>
        </is>
      </c>
      <c r="L29" s="21" t="inlineStr">
        <is>
          <t>• What performance metrics best demonstrate equivalence between remanufactured and new products?
• How will equivalence claims be validated and protected from regulatory challenge?
• What test data documentation provides credibility without overwhelming consumers?
• How will performance equivalence be communicated across different customer segments?
• What warranty provisions support performance equivalence claims?</t>
        </is>
      </c>
      <c r="M29" s="21" t="n">
        <v>179</v>
      </c>
      <c r="N29" s="21" t="inlineStr">
        <is>
          <t>Geissdoerfer, M., Savaget, P., Bocken, N. M., &amp; Hultink, E. J. (2017). The Circular Economy–A new sustainability paradigm. Journal of Cleaner Production, 143, 757-768.
Hazen, B. T., Mollenkopf, D. A., &amp; Wang, Y. (2017). Remanufacturing for the circular economy: an examination of consumer switching behavior. Business Strategy and the Environment, 26(4), 451-464.
Bocken, N. M., de Pauw, I., Bakker, C., &amp; van der Grinten, B. (2016). Product design and business model strategies for a circular economy. Journal of Industrial and Production Engineering, 33(5), 308-320.</t>
        </is>
      </c>
      <c r="O29" s="21" t="n"/>
      <c r="P29" s="21" t="n"/>
      <c r="Q29" s="21" t="n"/>
      <c r="R29" s="21" t="inlineStr">
        <is>
          <t>LOOP N,LAST LOOP</t>
        </is>
      </c>
      <c r="S29" s="21" t="inlineStr">
        <is>
          <t>Products,Systems</t>
        </is>
      </c>
      <c r="T29" s="21" t="n"/>
      <c r="U29" s="21" t="n"/>
      <c r="V29" s="21" t="n"/>
      <c r="W29" s="21" t="n"/>
      <c r="X29" s="21" t="n"/>
    </row>
    <row r="30" ht="75" customHeight="1" s="76">
      <c r="A30" s="21" t="inlineStr">
        <is>
          <t>sale</t>
        </is>
      </c>
      <c r="B30" s="21" t="n">
        <v>288</v>
      </c>
      <c r="C30" s="21" t="inlineStr">
        <is>
          <t>Df Remanufacturing</t>
        </is>
      </c>
      <c r="D30" s="21" t="inlineStr">
        <is>
          <t>Df Remanufactured Product Positioning</t>
        </is>
      </c>
      <c r="E30" s="21" t="inlineStr">
        <is>
          <t>Df Lifecycle Cost Communication</t>
        </is>
      </c>
      <c r="F30" s="21" t="n">
        <v>3</v>
      </c>
      <c r="G30" s="21" t="inlineStr">
        <is>
          <t>medium</t>
        </is>
      </c>
      <c r="H30" s="21" t="inlineStr">
        <is>
          <t>Develop transparent total cost of ownership (TCO) communications comparing remanufactured and new product lifecycle costs. Calculate and communicate acquisition costs, maintenance requirements, expected lifespan, and disposal costs. Create accessible comparison tools enabling consumers to calculate TCO for their specific use scenarios. Display TCO data prominently in marketing and at point of purchase.</t>
        </is>
      </c>
      <c r="I30" s="21" t="inlineStr">
        <is>
          <t>Remanufactured products typically offer lower lifecycle costs despite similar upfront prices to new products. Communicating TCO advantages over upfront price alone shifts purchase decisions toward total economic value. Clear TCO information enables rational purchasing decisions where remanufactured products compete on economic efficiency.</t>
        </is>
      </c>
      <c r="J30" s="21" t="inlineStr">
        <is>
          <t>Particularly valuable for commercial products and high-value equipment where lifecycle cost considerations influence purchasing decisions.</t>
        </is>
      </c>
      <c r="K30" s="21" t="inlineStr">
        <is>
          <t>Products include clear TCO documentation comparing remanufactured to new alternatives. Marketing materials feature TCO calculation tools and scenario-based comparisons. Point-of-purchase information includes lifecycle cost data.</t>
        </is>
      </c>
      <c r="L30" s="21" t="inlineStr">
        <is>
          <t>• What TCO components are essential without excessive complexity for consumer calculation?
• How will maintenance and durability assumptions be documented to ensure credibility?
• What comparison baselines (specific new products) provide meaningful cost comparison?
• How will TCO communication adapt across different use scenarios and customer types?
• What assumptions in TCO models require sensitivity analysis or transparency notes?</t>
        </is>
      </c>
      <c r="M30" s="21" t="n">
        <v>179</v>
      </c>
      <c r="N30" s="21" t="inlineStr">
        <is>
          <t>Tukker, A. (2015). Product services for a resource-efficient and circular economy–a review. Journal of Cleaner Production, 97, 76-91.
Manzini, E., &amp; Vezzoli, C. (2003). A strategic design approach to develop sustainable product service systems. Journal of Cleaner Production, 11(8), 851-857.
Stahel, W. R. (2016). The circular economy. Nature, 531(7595), 435-438.</t>
        </is>
      </c>
      <c r="O30" s="21" t="n"/>
      <c r="P30" s="21" t="n"/>
      <c r="Q30" s="21" t="n"/>
      <c r="R30" s="21" t="inlineStr">
        <is>
          <t>LOOP N,LAST LOOP</t>
        </is>
      </c>
      <c r="S30" s="21" t="inlineStr">
        <is>
          <t>Products,Systems</t>
        </is>
      </c>
      <c r="T30" s="21" t="n"/>
      <c r="U30" s="21" t="n"/>
      <c r="V30" s="21" t="n"/>
      <c r="W30" s="21" t="n"/>
      <c r="X30" s="21" t="n"/>
    </row>
    <row r="31" ht="75" customHeight="1" s="76">
      <c r="A31" s="21" t="inlineStr">
        <is>
          <t>sale</t>
        </is>
      </c>
      <c r="B31" s="21" t="n">
        <v>289</v>
      </c>
      <c r="C31" s="21" t="inlineStr">
        <is>
          <t>Df Remanufacturing</t>
        </is>
      </c>
      <c r="D31" s="21" t="inlineStr">
        <is>
          <t>Df Remanufactured Product Positioning</t>
        </is>
      </c>
      <c r="E31" s="21" t="inlineStr">
        <is>
          <t>Df Sustainability Quantification</t>
        </is>
      </c>
      <c r="F31" s="21" t="n">
        <v>3</v>
      </c>
      <c r="G31" s="21" t="inlineStr">
        <is>
          <t>medium</t>
        </is>
      </c>
      <c r="H31" s="21" t="inlineStr">
        <is>
          <t>Calculate and communicate verified environmental benefits of remanufactured products including carbon footprint reduction, water savings, and material waste prevention. Develop lifecycle assessment data comparing remanufactured products to new product manufacturing. Create accessible environmental impact labelling using simple metrics (CO2 saved, material diverted). Third-party verify environmental claims to ensure credibility.</t>
        </is>
      </c>
      <c r="I31" s="21" t="inlineStr">
        <is>
          <t>Environmental benefits of remanufacturing are substantial but often not quantified or communicated. Verified sustainability data overcomes greenwashing skepticism and enables consumers to make environmentally informed decisions. Quantified environmental benefits appeal to growing consumer segments where environmental impact influences purchasing.
Sustainability quantification differentiates remanufactured products from cheaper new product alternatives. Third-party verification creates accountability preventing environmental claim exaggeration. Transparent environmental data demonstrates remanufactured products deliver environmental and economic benefits simultaneously.</t>
        </is>
      </c>
      <c r="J31" s="21" t="inlineStr">
        <is>
          <t>Increasingly important for consumer-facing remanufactured products and B2B purchasing influenced by environmental commitments.</t>
        </is>
      </c>
      <c r="K31" s="21" t="inlineStr">
        <is>
          <t>Products feature environmental impact labels showing carbon, water, and material savings. Detailed lifecycle assessment data available in marketing or digital platforms. Environmental benefits clearly quantified and third-party verified.</t>
        </is>
      </c>
      <c r="L31" s="21" t="inlineStr">
        <is>
          <t>• What environmental metrics best communicate remanufacturing benefits to consumers?
• How will lifecycle assessment boundaries ensure fair comparison to new product manufacturing?
• What third-party verification systems ensure environmental claim credibility?
• How will environmental data be presented simply without oversimplification?
• How will environmental quantification adapt as remanufacturing processes improve?</t>
        </is>
      </c>
      <c r="M31" s="21" t="n">
        <v>180</v>
      </c>
      <c r="N31" s="21" t="inlineStr">
        <is>
          <t>Allwood, J. M., Ashby, M. F., Gutowski, T. G., &amp; Worrell, E. (2013). Material efficiency: providing material for society. Annual Review of Environment and Resources, 38, 575-600.
McDonough, W., &amp; Braungart, M. (2002). Cradle to cradle: Remaking the way we make things. North Point Press.
Geissdoerfer, M., Savaget, P., Bocken, N. M., &amp; Hultink, E. J. (2017). The Circular Economy–A new sustainability paradigm. Journal of Cleaner Production, 143, 757-768.</t>
        </is>
      </c>
      <c r="O31" s="21" t="n"/>
      <c r="P31" s="21" t="n"/>
      <c r="Q31" s="21" t="n"/>
      <c r="R31" s="21" t="inlineStr">
        <is>
          <t>LOOP N,LAST LOOP</t>
        </is>
      </c>
      <c r="S31" s="21" t="inlineStr">
        <is>
          <t>Products,Systems</t>
        </is>
      </c>
      <c r="T31" s="21" t="n"/>
      <c r="U31" s="21" t="n"/>
      <c r="V31" s="21" t="n"/>
      <c r="W31" s="21" t="n"/>
      <c r="X31" s="21" t="n"/>
    </row>
    <row r="32" ht="75" customHeight="1" s="76">
      <c r="A32" s="21" t="inlineStr">
        <is>
          <t>use</t>
        </is>
      </c>
      <c r="B32" s="21" t="n">
        <v>290</v>
      </c>
      <c r="C32" s="21" t="inlineStr">
        <is>
          <t>Df Remanufacturing</t>
        </is>
      </c>
      <c r="D32" s="21" t="inlineStr">
        <is>
          <t>Df Core Preservation</t>
        </is>
      </c>
      <c r="E32" s="21" t="inlineStr">
        <is>
          <t>Df Use-Phase Care Guidance</t>
        </is>
      </c>
      <c r="F32" s="21" t="n">
        <v>3</v>
      </c>
      <c r="G32" s="21" t="inlineStr">
        <is>
          <t>medium</t>
        </is>
      </c>
      <c r="H32" s="21" t="inlineStr">
        <is>
          <t>Develop clear, accessible user guidance documenting care practices preserving core functionality and material integrity through product lifecycles. Specify maintenance schedules preventing premature core degradation. Document operating parameters and stress limits enabling users to extend core lifespan. Create accessible communication (user manuals, digital platforms, physical labels) ensuring users understand core preservation importance.</t>
        </is>
      </c>
      <c r="I32" s="21" t="inlineStr">
        <is>
          <t>User care practices significantly influence core condition at end-of-first-life, affecting remanufacturing feasibility and economics. Products designed without user guidance often experience preventable degradation reducing remanufacturing viability. Clear care guidance enables users to maximize core preservation while maintaining normal product functionality.
Core preservation guidance creates shared responsibility between manufacturers and users for material value retention. User education builds awareness that care practices influence product's future remanufacturing potential. Care guidance documents become valuable assets when products enter remanufacturing cycles.</t>
        </is>
      </c>
      <c r="J32" s="21" t="inlineStr">
        <is>
          <t>Important for all products targeted for multiple-cycle remanufacturing where user care practices influence core condition.</t>
        </is>
      </c>
      <c r="K32" s="21" t="inlineStr">
        <is>
          <t>Products include clear care documentation in user manuals and on product labels. Maintenance schedules specified to prevent premature degradation. Operating parameter guidance communicated clearly to users.</t>
        </is>
      </c>
      <c r="L32" s="21" t="inlineStr">
        <is>
          <t>• What care practices most significantly influence core preservation and remanufacturing viability?
• How can care guidance be communicated without overwhelming users with excessive detail?
• What maintenance schedules balance user burden with core preservation benefits?
• How will care guidance evolve as products age and historical performance data accumulates?
• What incentives can be created to encourage users to follow care recommendations?</t>
        </is>
      </c>
      <c r="M32" s="21" t="n">
        <v>175</v>
      </c>
      <c r="N32" s="21" t="inlineStr">
        <is>
          <t>Sundin, E., Lindahl, M., &amp; Ijomah, W. (2009). Product design for successful remanufacturing. In Handbook of Research in Sustainable Manufacturing. IGI Global.
Bakker, C., Wang, F., Huisman, J., &amp; den Hollander, M. (2014). Products that go round: exploring product life extension through design. Journal of Cleaner Production, 69, 10-16.
Vezzoli, C., Ceschin, F., Diehl, J. C., &amp; Kohtala, C. (2015). Why have 'Sustainable Product-Service Systems' not been widely implemented? Meeting new design challenges to achieve societal sustainability.</t>
        </is>
      </c>
      <c r="O32" s="21" t="n"/>
      <c r="P32" s="21" t="n"/>
      <c r="Q32" s="21" t="n"/>
      <c r="R32" s="21" t="inlineStr">
        <is>
          <t>LOOP 1,LOOP N</t>
        </is>
      </c>
      <c r="S32" s="21" t="inlineStr">
        <is>
          <t>Products,Systems</t>
        </is>
      </c>
      <c r="T32" s="21" t="n"/>
      <c r="U32" s="21" t="n"/>
      <c r="V32" s="21" t="n"/>
      <c r="W32" s="21" t="n"/>
      <c r="X32" s="21" t="n"/>
    </row>
    <row r="33" ht="75" customHeight="1" s="76">
      <c r="A33" s="21" t="inlineStr">
        <is>
          <t>use</t>
        </is>
      </c>
      <c r="B33" s="21" t="n">
        <v>291</v>
      </c>
      <c r="C33" s="21" t="inlineStr">
        <is>
          <t>Df Remanufacturing</t>
        </is>
      </c>
      <c r="D33" s="21" t="inlineStr">
        <is>
          <t>Df Core Preservation</t>
        </is>
      </c>
      <c r="E33" s="21" t="inlineStr">
        <is>
          <t>Df Core Deposit System</t>
        </is>
      </c>
      <c r="F33" s="21" t="n">
        <v>3</v>
      </c>
      <c r="G33" s="21" t="inlineStr">
        <is>
          <t>medium</t>
        </is>
      </c>
      <c r="H33" s="21" t="inlineStr">
        <is>
          <t>Establish deposit-based systems where users pay deposits on product purchases, refunded when cores are returned in acceptable condition. Create transparent documentation of condition standards determining deposit refund eligibility. Design deposit levels creating sufficient incentive for responsible return without excessive financial burden. Develop assessment procedures ensuring fair condition evaluation.</t>
        </is>
      </c>
      <c r="I33" s="21" t="inlineStr">
        <is>
          <t>Financial incentive structures fundamentally alter user behaviour toward core preservation and return participation. Core deposits create personal economic motivation for users to maintain products and return cores. Deposit systems ensure reliable core feedstock for remanufacturing operations while incentivizing responsible user care.
Deposit systems resolve collection barriers by creating automatic return incentives. Users gain financial benefit from responsible product care and timely returns. Manufacturers gain supply certainty for remanufacturing operations.</t>
        </is>
      </c>
      <c r="J33" s="21" t="inlineStr">
        <is>
          <t>Ideal for products requiring reliable core supply for remanufacturing operations and where return infrastructure exists.</t>
        </is>
      </c>
      <c r="K33" s="21" t="inlineStr">
        <is>
          <t>Products sold with documented core deposit amounts and refund conditions. Assessment procedures and condition standards clearly communicated. Digital or physical systems tracking deposit status and refund eligibility.</t>
        </is>
      </c>
      <c r="L33" s="21" t="inlineStr">
        <is>
          <t>• What deposit levels create sufficient incentive without excessive financial burden on users?
• What condition standards determine deposit refund eligibility and encourage core preservation?
• How will deposit systems be integrated with existing sales and distribution processes?
• What dispute resolution mechanisms address disagreements about condition assessment?
• How will core deposit systems be adapted across different geographic and regulatory contexts?</t>
        </is>
      </c>
      <c r="M33" s="21" t="n">
        <v>178</v>
      </c>
      <c r="N33" s="21" t="inlineStr">
        <is>
          <t>Lacy, P., Rutqvist, J., &amp; BuddPress, B. (2015). Waste to wealth: the circular economy advantage. Accenture.
Geissdoerfer, M., Savaget, P., Bocken, N. M., &amp; Hultink, E. J. (2017). The Circular Economy–A new sustainability paradigm. Journal of Cleaner Production, 143, 757-768.
Tukker, A. (2015). Product services for a resource-efficient and circular economy–a review. Journal of Cleaner Production, 97, 76-91.</t>
        </is>
      </c>
      <c r="O33" s="21" t="n"/>
      <c r="P33" s="21" t="n"/>
      <c r="Q33" s="21" t="n"/>
      <c r="R33" s="21" t="inlineStr">
        <is>
          <t>LOOP 1,LOOP N</t>
        </is>
      </c>
      <c r="S33" s="21" t="inlineStr">
        <is>
          <t>Products,Systems</t>
        </is>
      </c>
      <c r="T33" s="21" t="n"/>
      <c r="U33" s="21" t="n"/>
      <c r="V33" s="21" t="n"/>
      <c r="W33" s="21" t="n"/>
      <c r="X33" s="21" t="n"/>
    </row>
    <row r="34" ht="75" customHeight="1" s="76">
      <c r="A34" s="21" t="inlineStr">
        <is>
          <t>use</t>
        </is>
      </c>
      <c r="B34" s="21" t="n">
        <v>292</v>
      </c>
      <c r="C34" s="21" t="inlineStr">
        <is>
          <t>Df Remanufacturing</t>
        </is>
      </c>
      <c r="D34" s="21" t="inlineStr">
        <is>
          <t>Df Core Preservation</t>
        </is>
      </c>
      <c r="E34" s="21" t="inlineStr">
        <is>
          <t>Df Condition Monitoring</t>
        </is>
      </c>
      <c r="F34" s="21" t="n">
        <v>3</v>
      </c>
      <c r="G34" s="21" t="inlineStr">
        <is>
          <t>medium</t>
        </is>
      </c>
      <c r="H34" s="21" t="inlineStr">
        <is>
          <t>Integrate embedded sensors or condition monitoring systems enabling continuous assessment of core material condition and degradation trajectory. Design user interfaces communicating condition status and predicting remaining remanufacturing potential. Create data systems tracking condition history for future remanufacturers. Enable condition-based maintenance recommendations optimizing core preservation.</t>
        </is>
      </c>
      <c r="I34" s="21" t="inlineStr">
        <is>
          <t>Remanufacturers inherit products with unknown condition histories, requiring expensive assessment before remanufacturing decisions. Continuous condition monitoring provides objective data enabling confident remanufacturing planning. Historical condition data enables predictive remanufacturing models improving quality and reducing costs.
Condition monitoring creates feedback loops where core condition information influences user behaviour. Users gain awareness of remaining core value and remanufacturing potential. Manufacturers gain real-world performance data improving next-generation design decisions.</t>
        </is>
      </c>
      <c r="J34" s="21" t="inlineStr">
        <is>
          <t>Increasingly viable for high-value equipment where monitoring costs are justified by remanufacturing economics.</t>
        </is>
      </c>
      <c r="K34" s="21" t="inlineStr">
        <is>
          <t>Products integrate sensors monitoring key degradation indicators. Condition data accessible to users and future remanufacturers. Historical condition records maintained through product lifecycles.</t>
        </is>
      </c>
      <c r="L34" s="21" t="inlineStr">
        <is>
          <t>• What degradation indicators provide accurate core condition assessment without excessive complexity?
• How can continuous monitoring systems balance cost with information value?
• What data privacy and security measures protect condition-monitoring information?
• How will condition data be made accessible to future remanufacturers across decades?
• What interpretation frameworks enable users to understand condition data implications?</t>
        </is>
      </c>
      <c r="M34" s="21" t="n">
        <v>167</v>
      </c>
      <c r="N34" s="21" t="inlineStr">
        <is>
          <t>Sundin, E., Lindahl, M., &amp; Ijomah, W. (2009). Product design for successful remanufacturing. In Handbook of Research in Sustainable Manufacturing. IGI Global.
Bokrantz, J., Skoogh, A., Berlin, C., &amp; Stahre, J. (2017). Maintenance in digitalised manufacturing systems: Dearth of practices, potential of data. Procedia CIRP, 63, 657-662.
Manzini, E., &amp; Vezzoli, C. (2003). A strategic design approach to develop sustainable product service systems. Journal of Cleaner Production, 11(8), 851-857.</t>
        </is>
      </c>
      <c r="O34" s="21" t="n"/>
      <c r="P34" s="21" t="n"/>
      <c r="Q34" s="21" t="n"/>
      <c r="R34" s="21" t="inlineStr">
        <is>
          <t>LOOP 1,LOOP N</t>
        </is>
      </c>
      <c r="S34" s="21" t="inlineStr">
        <is>
          <t>Products,Systems</t>
        </is>
      </c>
      <c r="T34" s="21" t="n"/>
      <c r="U34" s="21" t="n"/>
      <c r="V34" s="21" t="n"/>
      <c r="W34" s="21" t="n"/>
      <c r="X34" s="21" t="n"/>
    </row>
    <row r="35" ht="75" customHeight="1" s="76">
      <c r="A35" s="21" t="inlineStr">
        <is>
          <t>use</t>
        </is>
      </c>
      <c r="B35" s="21" t="n">
        <v>293</v>
      </c>
      <c r="C35" s="21" t="inlineStr">
        <is>
          <t>Df Remanufacturing</t>
        </is>
      </c>
      <c r="D35" s="21" t="inlineStr">
        <is>
          <t>Df Core Preservation</t>
        </is>
      </c>
      <c r="E35" s="21" t="inlineStr">
        <is>
          <t>Df Failure Reporting</t>
        </is>
      </c>
      <c r="F35" s="21" t="n">
        <v>3</v>
      </c>
      <c r="G35" s="21" t="inlineStr">
        <is>
          <t>medium</t>
        </is>
      </c>
      <c r="H35" s="21" t="inlineStr">
        <is>
          <t>Design simple, accessible mechanisms enabling users to report product failures, degradation, or core condition concerns. Create user-friendly reporting systems (digital platforms, QR codes, hotlines) requiring minimal effort for issue documentation. Develop feedback loops where user reports inform remanufacturer condition assessment and maintenance planning. Create positive incentives (rewards, service credits) encouraging early failure reporting.</t>
        </is>
      </c>
      <c r="I35" s="21" t="inlineStr">
        <is>
          <t>Early failure detection enables intervention preventing catastrophic core damage during continued use. User-reported failures provide valuable condition information to remanufacturers before products reach end-of-life. Early reporting creates conditions for rapid problem resolution improving user experience and core preservation.
Failure reporting systems create feedback mechanisms connecting user experience to remanufacturer insights. Accumulated failure reports inform design improvements reducing future failure rates. Accessible reporting systems democratize quality feedback, capturing issues formal quality systems might miss.</t>
        </is>
      </c>
      <c r="J35" s="21" t="inlineStr">
        <is>
          <t>Valuable for complex products where early failure detection prevents core damage and improves user satisfaction.</t>
        </is>
      </c>
      <c r="K35" s="21" t="inlineStr">
        <is>
          <t>Products include clear failure reporting mechanisms (digital/physical). Minimal friction to report issues. Documented feedback loops connecting user reports to remanufacturer processes.</t>
        </is>
      </c>
      <c r="L35" s="21" t="inlineStr">
        <is>
          <t>• How can failure reporting systems remain accessible without generating excessive noise?
• What incentive structures encourage user participation in failure reporting?
• How will user-reported failures be differentiated from design defects and user errors?
• What feedback mechanisms ensure users understand how their reports influence product improvements?
• How will failure data be aggregated and analyzed to identify systematic issues?</t>
        </is>
      </c>
      <c r="M35" s="21" t="n">
        <v>167</v>
      </c>
      <c r="N35" s="21" t="inlineStr">
        <is>
          <t>Ijomah, W. L., McMahon, C. A., Hammond, G. P., &amp; Newman, S. T. (2007). Development of design for remanufacturing guidelines to support sustainable product design. Journal of Cleaner Production, 15(4), 404-416.
Sundin, E., &amp; Bras, B. (2005). Making functional products sustainable through service modularity design. Journal of Cleaner Production, 13(10-11), 993-1006.
Bakker, C., Wang, F., Huisman, J., &amp; den Hollander, M. (2014). Products that go round: exploring product life extension through design. Journal of Cleaner Production, 69, 10-16.</t>
        </is>
      </c>
      <c r="O35" s="21" t="n"/>
      <c r="P35" s="21" t="n"/>
      <c r="Q35" s="21" t="n"/>
      <c r="R35" s="21" t="inlineStr">
        <is>
          <t>LOOP 1,LOOP N</t>
        </is>
      </c>
      <c r="S35" s="21" t="inlineStr">
        <is>
          <t>Products,Systems</t>
        </is>
      </c>
      <c r="T35" s="21" t="n"/>
      <c r="U35" s="21" t="n"/>
      <c r="V35" s="21" t="n"/>
      <c r="W35" s="21" t="n"/>
      <c r="X35" s="21" t="n"/>
    </row>
    <row r="36" ht="75" customHeight="1" s="7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row>
    <row r="37" ht="75" customHeight="1" s="76">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row>
    <row r="38" ht="75" customHeight="1" s="76">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row>
    <row r="39" ht="75" customHeight="1" s="76">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row>
    <row r="40" ht="75" customHeight="1" s="76">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row>
    <row r="41" ht="75" customHeight="1" s="76">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row>
    <row r="42" ht="75" customHeight="1" s="76">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row>
    <row r="43" ht="75" customHeight="1" s="76">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row>
    <row r="44" ht="75" customHeight="1" s="76">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row>
    <row r="45" ht="75" customHeight="1" s="76">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row>
    <row r="46" ht="75" customHeight="1" s="7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row>
    <row r="47" ht="75" customHeight="1" s="76">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row>
    <row r="48" ht="75" customHeight="1" s="76">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row>
    <row r="49" ht="75" customHeight="1" s="76">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row>
    <row r="50" ht="75" customHeight="1" s="76">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row>
    <row r="51" ht="75" customHeight="1" s="76">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row>
    <row r="52" ht="75" customHeight="1" s="76">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row>
    <row r="53" ht="75" customHeight="1" s="76">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row>
    <row r="54" ht="75" customHeight="1" s="76">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row>
    <row r="55" ht="75" customHeight="1" s="76">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row>
    <row r="56" ht="75" customHeight="1" s="7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row>
    <row r="57" ht="75" customHeight="1" s="76">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row>
    <row r="58" ht="75" customHeight="1" s="76">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row>
    <row r="59" ht="75" customHeight="1" s="76">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row>
    <row r="60" ht="75" customHeight="1" s="76">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row>
    <row r="61" ht="75" customHeight="1" s="76">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row>
    <row r="62" ht="75" customHeight="1" s="76">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row>
    <row r="63" ht="75" customHeight="1" s="76">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row>
    <row r="64" ht="75" customHeight="1" s="76">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row>
    <row r="65" ht="75" customHeight="1" s="76">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row>
    <row r="66" ht="75" customHeight="1" s="7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row>
    <row r="67" ht="75" customHeight="1" s="76">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row>
    <row r="68" ht="75" customHeight="1" s="76">
      <c r="A68" s="21" t="n"/>
      <c r="B68" s="21" t="n"/>
      <c r="C68" s="21" t="n"/>
      <c r="D68" s="21" t="n"/>
      <c r="E68" s="21" t="n"/>
      <c r="F68" s="21" t="n"/>
      <c r="G68" s="21" t="n"/>
      <c r="H68" s="21" t="n"/>
      <c r="I68" s="21" t="n"/>
      <c r="J68" s="21" t="n"/>
      <c r="K68" s="21" t="n"/>
      <c r="L68" s="21" t="n"/>
      <c r="M68" s="21" t="n"/>
      <c r="N68" s="21" t="n"/>
      <c r="O68" s="21" t="n"/>
      <c r="P68" s="21" t="n"/>
      <c r="Q68" s="21" t="n"/>
      <c r="R68" s="24" t="n"/>
      <c r="S68" s="24" t="n"/>
      <c r="T68" s="21" t="n"/>
      <c r="U68" s="21" t="n"/>
      <c r="V68" s="21" t="n"/>
      <c r="W68" s="21" t="n"/>
      <c r="X68" s="21" t="n"/>
    </row>
    <row r="69" ht="75" customHeight="1" s="76">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row>
    <row r="70" ht="75" customHeight="1" s="76">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row>
    <row r="71" ht="75" customHeight="1" s="76">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row>
    <row r="72" ht="75" customHeight="1" s="76">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row>
    <row r="73" ht="75" customHeight="1" s="76">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row>
    <row r="74" ht="75" customHeight="1" s="76">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row>
    <row r="75" ht="75" customHeight="1" s="76">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row>
    <row r="76" ht="75" customHeight="1" s="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row>
    <row r="77" ht="75" customHeight="1" s="76">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row>
    <row r="78" ht="75" customHeight="1" s="76">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row>
    <row r="79" ht="75" customHeight="1" s="76">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row>
    <row r="80" ht="75" customHeight="1" s="76">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row>
    <row r="81" ht="75" customHeight="1" s="76">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row>
    <row r="82" ht="75" customHeight="1" s="76">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row>
    <row r="83" ht="75" customHeight="1" s="76">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row>
    <row r="84" ht="75" customHeight="1" s="76">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row>
    <row r="85" ht="75" customHeight="1" s="76">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row>
    <row r="86" ht="75" customHeight="1" s="7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row>
    <row r="87" ht="75" customHeight="1" s="76">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row>
    <row r="88" ht="75" customHeight="1" s="76">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row>
    <row r="89" ht="75" customHeight="1" s="76">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row>
    <row r="90" ht="75" customHeight="1" s="76">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row>
    <row r="91" ht="75" customHeight="1" s="76">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row>
    <row r="92" ht="75" customHeight="1" s="76">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row>
    <row r="93" ht="75" customHeight="1" s="76">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row>
    <row r="94" ht="75" customHeight="1" s="76">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row>
    <row r="95" ht="75" customHeight="1" s="76">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row>
    <row r="96" ht="75" customHeight="1" s="7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row>
    <row r="97" ht="75" customHeight="1" s="76">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row>
    <row r="98" ht="75" customHeight="1" s="76">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row>
    <row r="99" ht="75" customHeight="1" s="76">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row>
    <row r="100" ht="75" customHeight="1" s="76">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row>
    <row r="101" ht="75" customHeight="1" s="76">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row>
    <row r="102" ht="75" customHeight="1" s="76">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row>
    <row r="103" ht="75" customHeight="1" s="76">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row>
    <row r="104" ht="75" customHeight="1" s="76">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row>
    <row r="105" ht="75" customHeight="1" s="76">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row>
    <row r="106" ht="75" customHeight="1" s="7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row>
    <row r="107" ht="75" customHeight="1" s="76">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row>
    <row r="108" ht="75" customHeight="1" s="76">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row>
    <row r="109" ht="75" customHeight="1" s="76">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row>
    <row r="110" ht="75" customHeight="1" s="76">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row>
    <row r="111" ht="75" customHeight="1" s="76">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row>
    <row r="112" ht="75" customHeight="1" s="76">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row>
    <row r="113" ht="75" customHeight="1" s="76">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row>
    <row r="114" ht="75" customHeight="1" s="76">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row>
    <row r="115" ht="75" customHeight="1" s="76">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row>
    <row r="116" ht="75" customHeight="1" s="7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row>
    <row r="117" ht="75" customHeight="1" s="76">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row>
    <row r="118" ht="75" customHeight="1" s="76">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row>
    <row r="119" ht="75" customHeight="1" s="76">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row>
    <row r="120" ht="75" customHeight="1" s="76">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row>
    <row r="121" ht="75" customHeight="1" s="76">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row>
    <row r="122" ht="75" customHeight="1" s="76">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row>
    <row r="123" ht="75" customHeight="1" s="76">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row>
    <row r="124" ht="75" customHeight="1" s="76">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row>
    <row r="125" ht="75" customHeight="1" s="76">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row>
    <row r="126" ht="75" customHeight="1" s="7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row>
    <row r="127" ht="75" customHeight="1" s="76">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row>
    <row r="128" ht="75" customHeight="1" s="76">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row>
    <row r="129" ht="75" customHeight="1" s="76">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row>
    <row r="130" ht="75" customHeight="1" s="76">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row>
    <row r="131" ht="75" customHeight="1" s="76">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row>
    <row r="132" ht="75" customHeight="1" s="76">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row>
    <row r="133" ht="75" customHeight="1" s="76">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row>
    <row r="134" ht="75" customHeight="1" s="76">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row>
    <row r="135" ht="75" customHeight="1" s="76">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row>
    <row r="136" ht="75" customHeight="1" s="7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row>
    <row r="137" ht="75" customHeight="1" s="76">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row>
    <row r="138" ht="75" customHeight="1" s="76">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row>
    <row r="139" ht="75" customHeight="1" s="76">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row>
    <row r="140" ht="75" customHeight="1" s="76">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row>
    <row r="141" ht="75" customHeight="1" s="76">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row>
    <row r="142" ht="75" customHeight="1" s="76">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row>
    <row r="143" ht="75" customHeight="1" s="76">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row>
    <row r="144" ht="75" customHeight="1" s="76">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row>
    <row r="145" ht="75" customHeight="1" s="76">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row>
    <row r="146" ht="75" customHeight="1" s="7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row>
    <row r="147" ht="75" customHeight="1" s="76">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row>
    <row r="148" ht="75" customHeight="1" s="76">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row>
    <row r="149" ht="75" customHeight="1" s="76">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row>
    <row r="150" ht="75" customHeight="1" s="76">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row>
    <row r="151" ht="75" customHeight="1" s="76">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row>
    <row r="152" ht="75" customHeight="1" s="76">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row>
    <row r="153" ht="75" customHeight="1" s="76">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row>
    <row r="154" ht="75" customHeight="1" s="76">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row>
    <row r="155" ht="75" customHeight="1" s="76">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row>
    <row r="156" ht="75" customHeight="1" s="7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row>
    <row r="157" ht="75" customHeight="1" s="76">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row>
    <row r="158" ht="75" customHeight="1" s="76">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row>
    <row r="159" ht="75" customHeight="1" s="76">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row>
    <row r="160" ht="75" customHeight="1" s="76">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row>
    <row r="161" ht="75" customHeight="1" s="76">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row>
    <row r="162" ht="75" customHeight="1" s="76">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row>
    <row r="163" ht="75" customHeight="1" s="76">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row>
    <row r="164" ht="75" customHeight="1" s="76">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row>
    <row r="165" ht="75" customHeight="1" s="76">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row>
    <row r="166" ht="75" customHeight="1" s="7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row>
    <row r="167" ht="75" customHeight="1" s="76">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row>
    <row r="168" ht="75" customHeight="1" s="76">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row>
    <row r="169" ht="75" customHeight="1" s="76">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row>
    <row r="170" ht="75" customHeight="1" s="76">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row>
    <row r="171" ht="75" customHeight="1" s="76">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row>
    <row r="172" ht="75" customHeight="1" s="76">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row>
    <row r="173" ht="75" customHeight="1" s="76">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row>
    <row r="174" ht="75" customHeight="1" s="76">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row>
    <row r="175" ht="75" customHeight="1" s="76">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row>
    <row r="176" ht="75" customHeight="1" s="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row>
    <row r="177" ht="75" customHeight="1" s="76">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row>
    <row r="178" ht="75" customHeight="1" s="76">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row>
    <row r="179" ht="75" customHeight="1" s="76">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row>
    <row r="180" ht="75" customHeight="1" s="76">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row>
    <row r="181" ht="75" customHeight="1" s="76">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row>
    <row r="182" ht="75" customHeight="1" s="76">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row>
    <row r="183" ht="75" customHeight="1" s="76">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row>
    <row r="184" ht="75" customHeight="1" s="76">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row>
    <row r="185" ht="75" customHeight="1" s="76">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row>
    <row r="186" ht="75" customHeight="1" s="7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row>
    <row r="187" ht="75" customHeight="1" s="76">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row>
    <row r="188" ht="75" customHeight="1" s="76">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row>
    <row r="189" ht="75" customHeight="1" s="76">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row>
    <row r="190" ht="75" customHeight="1" s="76">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row>
    <row r="191" ht="75" customHeight="1" s="76">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row>
    <row r="192" ht="75" customHeight="1" s="76">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row>
    <row r="193" ht="75" customHeight="1" s="76">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row>
    <row r="194" ht="75" customHeight="1" s="76">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row>
    <row r="195" ht="75" customHeight="1" s="76">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row>
    <row r="196" ht="75" customHeight="1" s="7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row>
    <row r="197" ht="75" customHeight="1" s="76">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row>
    <row r="198" ht="75" customHeight="1" s="76">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row>
    <row r="199" ht="75" customHeight="1" s="76">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row>
    <row r="200" ht="75" customHeight="1" s="76">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row>
    <row r="201" ht="75" customHeight="1" s="76">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row>
    <row r="202" ht="75" customHeight="1" s="76">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row>
    <row r="203" ht="75" customHeight="1" s="76">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row>
    <row r="204" ht="75" customHeight="1" s="76">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row>
    <row r="205" ht="75" customHeight="1" s="76">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row>
    <row r="206" ht="75" customHeight="1" s="7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row>
    <row r="207" ht="75" customHeight="1" s="76">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row>
    <row r="208" ht="75" customHeight="1" s="76">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row>
    <row r="209" ht="75" customHeight="1" s="76">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row>
    <row r="210" ht="75" customHeight="1" s="76">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row>
    <row r="211" ht="75" customHeight="1" s="76">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row>
    <row r="212" ht="75" customHeight="1" s="76">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row>
    <row r="213" ht="75" customHeight="1" s="76">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row>
    <row r="214" ht="75" customHeight="1" s="76">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row>
    <row r="215" ht="75" customHeight="1" s="76">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row>
    <row r="216" ht="75" customHeight="1" s="7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row>
    <row r="217" ht="75" customHeight="1" s="76">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row>
    <row r="218" ht="75" customHeight="1" s="76">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row>
    <row r="219" ht="75" customHeight="1" s="76">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row>
    <row r="220" ht="75" customHeight="1" s="76">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row>
    <row r="221" ht="75" customHeight="1" s="76">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row>
    <row r="222" ht="75" customHeight="1" s="76">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row>
    <row r="223" ht="75" customHeight="1" s="76">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row>
    <row r="224" ht="75" customHeight="1" s="76">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row>
    <row r="225" ht="75" customHeight="1" s="76">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row>
    <row r="226" ht="75" customHeight="1" s="7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row>
    <row r="227" ht="75" customHeight="1" s="76">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row>
    <row r="228" ht="75" customHeight="1" s="76">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row>
    <row r="229" ht="75" customHeight="1" s="76">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row>
    <row r="230" ht="75" customHeight="1" s="76">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row>
    <row r="231" ht="75" customHeight="1" s="76">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row>
    <row r="232" ht="75" customHeight="1" s="76">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row>
    <row r="233" ht="75" customHeight="1" s="76">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row>
    <row r="234" ht="75" customHeight="1" s="76">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row>
    <row r="235" ht="75" customHeight="1" s="76">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row>
    <row r="236" ht="75" customHeight="1" s="7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row>
    <row r="237" ht="75" customHeight="1" s="76">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row>
    <row r="238" ht="75" customHeight="1" s="76">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row>
    <row r="239" ht="75" customHeight="1" s="76">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row>
    <row r="240" ht="75" customHeight="1" s="76">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row>
    <row r="241" ht="75" customHeight="1" s="76">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row>
    <row r="242" ht="75" customHeight="1" s="76">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row>
    <row r="243" ht="75" customHeight="1" s="76">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row>
    <row r="244" ht="75" customHeight="1" s="76">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row>
    <row r="245" ht="75" customHeight="1" s="76">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row>
    <row r="246" ht="75" customHeight="1" s="7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row>
    <row r="247" ht="75" customHeight="1" s="76">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row>
    <row r="248" ht="75" customHeight="1" s="76">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row>
    <row r="249" ht="75" customHeight="1" s="76">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row>
    <row r="250" ht="75" customHeight="1" s="76">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row>
    <row r="251" ht="75" customHeight="1" s="76">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row>
    <row r="252" ht="75" customHeight="1" s="76">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row>
    <row r="253" ht="75" customHeight="1" s="76">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row>
    <row r="254" ht="75" customHeight="1" s="76">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row>
    <row r="255" ht="75" customHeight="1" s="76">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row>
    <row r="256" ht="75" customHeight="1" s="7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row>
    <row r="257" ht="75" customHeight="1" s="76">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row>
    <row r="258" ht="75" customHeight="1" s="76">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row>
    <row r="259" ht="75" customHeight="1" s="76">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row>
    <row r="260" ht="75" customHeight="1" s="76">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row>
    <row r="261" ht="75" customHeight="1" s="76">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row>
    <row r="262" ht="75" customHeight="1" s="76">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row>
    <row r="263" ht="75" customHeight="1" s="76">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row>
    <row r="264" ht="75" customHeight="1" s="76">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row>
    <row r="265" ht="75" customHeight="1" s="76">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row>
    <row r="266" ht="75" customHeight="1" s="7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row>
    <row r="267" ht="75" customHeight="1" s="76">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row>
    <row r="268" ht="75" customHeight="1" s="76">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row>
    <row r="269" ht="75" customHeight="1" s="76">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row>
    <row r="270" ht="75" customHeight="1" s="76">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row>
    <row r="271" ht="75" customHeight="1" s="76">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row>
    <row r="272" ht="75" customHeight="1" s="76">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row>
    <row r="273" ht="75" customHeight="1" s="76">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row>
    <row r="274" ht="75" customHeight="1" s="76">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row>
    <row r="275" ht="75" customHeight="1" s="76">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row>
    <row r="276" ht="75" customHeight="1" s="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row>
    <row r="277" ht="75" customHeight="1" s="76">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row>
    <row r="278" ht="75" customHeight="1" s="76">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row>
    <row r="279" ht="75" customHeight="1" s="76">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row>
    <row r="280" ht="75" customHeight="1" s="76">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row>
    <row r="281" ht="75" customHeight="1" s="76">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row>
    <row r="282" ht="75" customHeight="1" s="76">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row>
    <row r="283" ht="75" customHeight="1" s="76">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row>
    <row r="284" ht="75" customHeight="1" s="76">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row>
    <row r="285" ht="75" customHeight="1" s="76">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row>
    <row r="286" ht="75" customHeight="1" s="7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row>
    <row r="287" ht="75" customHeight="1" s="76">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row>
    <row r="288" ht="75" customHeight="1" s="76">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row>
    <row r="289" ht="75" customHeight="1" s="76">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row>
    <row r="290" ht="75" customHeight="1" s="76">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row>
    <row r="291" ht="75" customHeight="1" s="76">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row>
    <row r="292" ht="75" customHeight="1" s="76">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row>
    <row r="293" ht="75" customHeight="1" s="76">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row>
    <row r="294" ht="75" customHeight="1" s="76">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row>
    <row r="295" ht="75" customHeight="1" s="76">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row>
    <row r="296" ht="75" customHeight="1" s="7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row>
    <row r="297" ht="75" customHeight="1" s="76">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row>
    <row r="298" ht="75" customHeight="1" s="76">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row>
    <row r="299" ht="75" customHeight="1" s="76">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row>
    <row r="300" ht="75" customHeight="1" s="76">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row>
    <row r="301" ht="75" customHeight="1" s="76">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row>
    <row r="302" ht="75" customHeight="1" s="76">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row>
    <row r="303" ht="75" customHeight="1" s="76">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row>
    <row r="304" ht="75" customHeight="1" s="76">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row>
    <row r="305" ht="75" customHeight="1" s="76">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row>
    <row r="306" ht="75" customHeight="1" s="7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row>
    <row r="307" ht="75" customHeight="1" s="76">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row>
    <row r="308" ht="75" customHeight="1" s="76">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74" t="n"/>
      <c r="S971" s="74" t="n"/>
      <c r="T971" s="21" t="n"/>
      <c r="U971" s="21" t="n"/>
      <c r="V971" s="21" t="n"/>
      <c r="W971" s="21" t="n"/>
      <c r="X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74" t="n"/>
      <c r="S972" s="74" t="n"/>
      <c r="T972" s="21" t="n"/>
      <c r="U972" s="21" t="n"/>
      <c r="V972" s="21" t="n"/>
      <c r="W972" s="21" t="n"/>
      <c r="X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74" t="n"/>
      <c r="S973" s="74" t="n"/>
      <c r="T973" s="21" t="n"/>
      <c r="U973" s="21" t="n"/>
      <c r="V973" s="21" t="n"/>
      <c r="W973" s="21" t="n"/>
      <c r="X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74" t="n"/>
      <c r="S974" s="74" t="n"/>
      <c r="T974" s="21" t="n"/>
      <c r="U974" s="21" t="n"/>
      <c r="V974" s="21" t="n"/>
      <c r="W974" s="21" t="n"/>
      <c r="X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74" t="n"/>
      <c r="S975" s="74" t="n"/>
      <c r="T975" s="21" t="n"/>
      <c r="U975" s="21" t="n"/>
      <c r="V975" s="21" t="n"/>
      <c r="W975" s="21" t="n"/>
      <c r="X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74" t="n"/>
      <c r="S976" s="74" t="n"/>
      <c r="T976" s="21" t="n"/>
      <c r="U976" s="21" t="n"/>
      <c r="V976" s="21" t="n"/>
      <c r="W976" s="21" t="n"/>
      <c r="X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74" t="n"/>
      <c r="S977" s="74" t="n"/>
      <c r="T977" s="21" t="n"/>
      <c r="U977" s="21" t="n"/>
      <c r="V977" s="21" t="n"/>
      <c r="W977" s="21" t="n"/>
      <c r="X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74" t="n"/>
      <c r="S978" s="74" t="n"/>
      <c r="T978" s="21" t="n"/>
      <c r="U978" s="21" t="n"/>
      <c r="V978" s="21" t="n"/>
      <c r="W978" s="21" t="n"/>
      <c r="X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74" t="n"/>
      <c r="S979" s="74" t="n"/>
      <c r="T979" s="21" t="n"/>
      <c r="U979" s="21" t="n"/>
      <c r="V979" s="21" t="n"/>
      <c r="W979" s="21" t="n"/>
      <c r="X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74" t="n"/>
      <c r="S980" s="74" t="n"/>
      <c r="T980" s="21" t="n"/>
      <c r="U980" s="21" t="n"/>
      <c r="V980" s="21" t="n"/>
      <c r="W980" s="21" t="n"/>
      <c r="X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74" t="n"/>
      <c r="S981" s="74" t="n"/>
      <c r="T981" s="21" t="n"/>
      <c r="U981" s="21" t="n"/>
      <c r="V981" s="21" t="n"/>
      <c r="W981" s="21" t="n"/>
      <c r="X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74" t="n"/>
      <c r="S982" s="74" t="n"/>
      <c r="T982" s="21" t="n"/>
      <c r="U982" s="21" t="n"/>
      <c r="V982" s="21" t="n"/>
      <c r="W982" s="21" t="n"/>
      <c r="X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74" t="n"/>
      <c r="S983" s="74" t="n"/>
      <c r="T983" s="21" t="n"/>
      <c r="U983" s="21" t="n"/>
      <c r="V983" s="21" t="n"/>
      <c r="W983" s="21" t="n"/>
      <c r="X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74" t="n"/>
      <c r="S984" s="74" t="n"/>
      <c r="T984" s="21" t="n"/>
      <c r="U984" s="21" t="n"/>
      <c r="V984" s="21" t="n"/>
      <c r="W984" s="21" t="n"/>
      <c r="X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74" t="n"/>
      <c r="S985" s="74" t="n"/>
      <c r="T985" s="21" t="n"/>
      <c r="U985" s="21" t="n"/>
      <c r="V985" s="21" t="n"/>
      <c r="W985" s="21" t="n"/>
      <c r="X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74" t="n"/>
      <c r="S986" s="74" t="n"/>
      <c r="T986" s="21" t="n"/>
      <c r="U986" s="21" t="n"/>
      <c r="V986" s="21" t="n"/>
      <c r="W986" s="21" t="n"/>
      <c r="X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74" t="n"/>
      <c r="S987" s="74" t="n"/>
      <c r="T987" s="21" t="n"/>
      <c r="U987" s="21" t="n"/>
      <c r="V987" s="21" t="n"/>
      <c r="W987" s="21" t="n"/>
      <c r="X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74" t="n"/>
      <c r="S988" s="74" t="n"/>
      <c r="T988" s="21" t="n"/>
      <c r="U988" s="21" t="n"/>
      <c r="V988" s="21" t="n"/>
      <c r="W988" s="21" t="n"/>
      <c r="X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74" t="n"/>
      <c r="S989" s="74" t="n"/>
      <c r="T989" s="21" t="n"/>
      <c r="U989" s="21" t="n"/>
      <c r="V989" s="21" t="n"/>
      <c r="W989" s="21" t="n"/>
      <c r="X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74" t="n"/>
      <c r="S990" s="74" t="n"/>
      <c r="T990" s="21" t="n"/>
      <c r="U990" s="21" t="n"/>
      <c r="V990" s="21" t="n"/>
      <c r="W990" s="21" t="n"/>
      <c r="X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74" t="n"/>
      <c r="S991" s="74" t="n"/>
      <c r="T991" s="21" t="n"/>
      <c r="U991" s="21" t="n"/>
      <c r="V991" s="21" t="n"/>
      <c r="W991" s="21" t="n"/>
      <c r="X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74" t="n"/>
      <c r="S992" s="74" t="n"/>
      <c r="T992" s="21" t="n"/>
      <c r="U992" s="21" t="n"/>
      <c r="V992" s="21" t="n"/>
      <c r="W992" s="21" t="n"/>
      <c r="X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74" t="n"/>
      <c r="S993" s="74" t="n"/>
      <c r="T993" s="21" t="n"/>
      <c r="U993" s="21" t="n"/>
      <c r="V993" s="21" t="n"/>
      <c r="W993" s="21" t="n"/>
      <c r="X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74" t="n"/>
      <c r="S994" s="74" t="n"/>
      <c r="T994" s="21" t="n"/>
      <c r="U994" s="21" t="n"/>
      <c r="V994" s="21" t="n"/>
      <c r="W994" s="21" t="n"/>
      <c r="X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74" t="n"/>
      <c r="S995" s="74" t="n"/>
      <c r="T995" s="21" t="n"/>
      <c r="U995" s="21" t="n"/>
      <c r="V995" s="21" t="n"/>
      <c r="W995" s="21" t="n"/>
      <c r="X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74" t="n"/>
      <c r="S996" s="74" t="n"/>
      <c r="T996" s="21" t="n"/>
      <c r="U996" s="21" t="n"/>
      <c r="V996" s="21" t="n"/>
      <c r="W996" s="21" t="n"/>
      <c r="X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74" t="n"/>
      <c r="S997" s="74" t="n"/>
      <c r="T997" s="21" t="n"/>
      <c r="U997" s="21" t="n"/>
      <c r="V997" s="21" t="n"/>
      <c r="W997" s="21" t="n"/>
      <c r="X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74" t="n"/>
      <c r="S998" s="74" t="n"/>
      <c r="T998" s="21" t="n"/>
      <c r="U998" s="21" t="n"/>
      <c r="V998" s="21" t="n"/>
      <c r="W998" s="21" t="n"/>
      <c r="X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74" t="n"/>
      <c r="S999" s="74" t="n"/>
      <c r="T999" s="21" t="n"/>
      <c r="U999" s="21" t="n"/>
      <c r="V999" s="21" t="n"/>
      <c r="W999" s="21" t="n"/>
      <c r="X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74" t="n"/>
      <c r="S1000" s="74" t="n"/>
      <c r="T1000" s="21" t="n"/>
      <c r="U1000" s="21" t="n"/>
      <c r="V1000" s="21" t="n"/>
      <c r="W1000" s="21" t="n"/>
      <c r="X1000" s="21" t="n"/>
    </row>
    <row r="1001">
      <c r="A1001" s="21" t="n"/>
      <c r="B1001" s="21" t="n"/>
      <c r="C1001" s="21" t="n"/>
      <c r="D1001" s="21" t="n"/>
      <c r="E1001" s="21" t="n"/>
      <c r="F1001" s="21" t="n"/>
      <c r="G1001" s="21" t="n"/>
      <c r="H1001" s="21" t="n"/>
      <c r="I1001" s="21" t="n"/>
      <c r="J1001" s="21" t="n"/>
      <c r="K1001" s="21" t="n"/>
      <c r="L1001" s="21" t="n"/>
      <c r="M1001" s="21" t="n"/>
      <c r="N1001" s="21" t="n"/>
      <c r="O1001" s="21" t="n"/>
      <c r="P1001" s="21" t="n"/>
      <c r="Q1001" s="21" t="n"/>
      <c r="R1001" s="74" t="n"/>
      <c r="S1001" s="74" t="n"/>
      <c r="T1001" s="21" t="n"/>
      <c r="U1001" s="21" t="n"/>
      <c r="V1001" s="21" t="n"/>
      <c r="W1001" s="21" t="n"/>
      <c r="X1001" s="21" t="n"/>
    </row>
    <row r="1002">
      <c r="A1002" s="21" t="n"/>
      <c r="B1002" s="21" t="n"/>
      <c r="C1002" s="21" t="n"/>
      <c r="D1002" s="21" t="n"/>
      <c r="E1002" s="21" t="n"/>
      <c r="F1002" s="21" t="n"/>
      <c r="G1002" s="21" t="n"/>
      <c r="H1002" s="21" t="n"/>
      <c r="I1002" s="21" t="n"/>
      <c r="J1002" s="21" t="n"/>
      <c r="K1002" s="21" t="n"/>
      <c r="L1002" s="21" t="n"/>
      <c r="M1002" s="21" t="n"/>
      <c r="N1002" s="21" t="n"/>
      <c r="O1002" s="21" t="n"/>
      <c r="P1002" s="21" t="n"/>
      <c r="Q1002" s="21" t="n"/>
      <c r="R1002" s="74" t="n"/>
      <c r="S1002" s="74" t="n"/>
      <c r="T1002" s="21" t="n"/>
      <c r="U1002" s="21" t="n"/>
      <c r="V1002" s="21" t="n"/>
      <c r="W1002" s="21" t="n"/>
      <c r="X1002" s="21" t="n"/>
    </row>
    <row r="1003">
      <c r="A1003" s="21" t="n"/>
      <c r="B1003" s="21" t="n"/>
      <c r="C1003" s="21" t="n"/>
      <c r="D1003" s="21" t="n"/>
      <c r="E1003" s="21" t="n"/>
      <c r="F1003" s="21" t="n"/>
      <c r="G1003" s="21" t="n"/>
      <c r="H1003" s="21" t="n"/>
      <c r="I1003" s="21" t="n"/>
      <c r="J1003" s="21" t="n"/>
      <c r="K1003" s="21" t="n"/>
      <c r="L1003" s="21" t="n"/>
      <c r="M1003" s="21" t="n"/>
      <c r="N1003" s="21" t="n"/>
      <c r="O1003" s="21" t="n"/>
      <c r="P1003" s="21" t="n"/>
      <c r="Q1003" s="21" t="n"/>
      <c r="R1003" s="74" t="n"/>
      <c r="S1003" s="74" t="n"/>
      <c r="T1003" s="21" t="n"/>
      <c r="U1003" s="21" t="n"/>
      <c r="V1003" s="21" t="n"/>
      <c r="W1003" s="21" t="n"/>
      <c r="X1003" s="21" t="n"/>
    </row>
    <row r="1004">
      <c r="A1004" s="21" t="n"/>
      <c r="B1004" s="21" t="n"/>
      <c r="C1004" s="21" t="n"/>
      <c r="D1004" s="21" t="n"/>
      <c r="E1004" s="21" t="n"/>
      <c r="F1004" s="21" t="n"/>
      <c r="G1004" s="21" t="n"/>
      <c r="H1004" s="21" t="n"/>
      <c r="I1004" s="21" t="n"/>
      <c r="J1004" s="21" t="n"/>
      <c r="K1004" s="21" t="n"/>
      <c r="L1004" s="21" t="n"/>
      <c r="M1004" s="21" t="n"/>
      <c r="N1004" s="21" t="n"/>
      <c r="O1004" s="21" t="n"/>
      <c r="P1004" s="21" t="n"/>
      <c r="Q1004" s="21" t="n"/>
      <c r="T1004" s="21" t="n"/>
      <c r="U1004" s="21" t="n"/>
      <c r="V1004" s="21" t="n"/>
      <c r="W1004" s="21" t="n"/>
      <c r="X1004" s="21" t="n"/>
    </row>
    <row r="1005">
      <c r="A1005" s="21" t="n"/>
      <c r="B1005" s="21" t="n"/>
      <c r="C1005" s="21" t="n"/>
      <c r="D1005" s="21" t="n"/>
      <c r="E1005" s="21" t="n"/>
      <c r="F1005" s="21" t="n"/>
      <c r="G1005" s="21" t="n"/>
      <c r="H1005" s="21" t="n"/>
      <c r="I1005" s="21" t="n"/>
      <c r="J1005" s="21" t="n"/>
      <c r="K1005" s="21" t="n"/>
      <c r="L1005" s="21" t="n"/>
      <c r="M1005" s="21" t="n"/>
      <c r="N1005" s="21" t="n"/>
      <c r="O1005" s="21" t="n"/>
      <c r="P1005" s="21" t="n"/>
      <c r="Q1005" s="21" t="n"/>
      <c r="T1005" s="21" t="n"/>
      <c r="U1005" s="21" t="n"/>
      <c r="V1005" s="21" t="n"/>
      <c r="W1005" s="21" t="n"/>
      <c r="X1005" s="21" t="n"/>
    </row>
    <row r="1006">
      <c r="A1006" s="21" t="n"/>
      <c r="B1006" s="21" t="n"/>
      <c r="C1006" s="21" t="n"/>
      <c r="D1006" s="21" t="n"/>
      <c r="E1006" s="21" t="n"/>
      <c r="F1006" s="21" t="n"/>
      <c r="G1006" s="21" t="n"/>
      <c r="H1006" s="21" t="n"/>
      <c r="I1006" s="21" t="n"/>
      <c r="J1006" s="21" t="n"/>
      <c r="K1006" s="21" t="n"/>
      <c r="L1006" s="21" t="n"/>
      <c r="M1006" s="21" t="n"/>
      <c r="N1006" s="21" t="n"/>
      <c r="O1006" s="21" t="n"/>
      <c r="P1006" s="21" t="n"/>
      <c r="Q1006" s="21" t="n"/>
      <c r="T1006" s="21" t="n"/>
      <c r="U1006" s="21" t="n"/>
      <c r="V1006" s="21" t="n"/>
      <c r="W1006" s="21" t="n"/>
      <c r="X1006" s="21" t="n"/>
    </row>
    <row r="1007">
      <c r="A1007" s="21" t="n"/>
      <c r="B1007" s="21" t="n"/>
      <c r="C1007" s="21" t="n"/>
      <c r="D1007" s="21" t="n"/>
      <c r="E1007" s="21" t="n"/>
      <c r="F1007" s="21" t="n"/>
      <c r="G1007" s="21" t="n"/>
      <c r="H1007" s="21" t="n"/>
      <c r="I1007" s="21" t="n"/>
      <c r="J1007" s="21" t="n"/>
      <c r="K1007" s="21" t="n"/>
      <c r="L1007" s="21" t="n"/>
      <c r="M1007" s="21" t="n"/>
      <c r="N1007" s="21" t="n"/>
      <c r="O1007" s="21" t="n"/>
      <c r="P1007" s="21" t="n"/>
      <c r="Q1007" s="21" t="n"/>
      <c r="T1007" s="21" t="n"/>
      <c r="U1007" s="21" t="n"/>
      <c r="V1007" s="21" t="n"/>
      <c r="W1007" s="21" t="n"/>
      <c r="X1007" s="21" t="n"/>
    </row>
    <row r="1008">
      <c r="A1008" s="21" t="n"/>
      <c r="B1008" s="21" t="n"/>
      <c r="C1008" s="21" t="n"/>
      <c r="D1008" s="21" t="n"/>
      <c r="E1008" s="21" t="n"/>
      <c r="F1008" s="21" t="n"/>
      <c r="G1008" s="21" t="n"/>
      <c r="H1008" s="21" t="n"/>
      <c r="I1008" s="21" t="n"/>
      <c r="J1008" s="21" t="n"/>
      <c r="K1008" s="21" t="n"/>
      <c r="L1008" s="21" t="n"/>
      <c r="M1008" s="21" t="n"/>
      <c r="N1008" s="21" t="n"/>
      <c r="O1008" s="21" t="n"/>
      <c r="P1008" s="21" t="n"/>
      <c r="Q1008" s="21" t="n"/>
      <c r="T1008" s="21" t="n"/>
      <c r="U1008" s="21" t="n"/>
      <c r="V1008" s="21" t="n"/>
      <c r="W1008" s="21" t="n"/>
      <c r="X1008" s="21" t="n"/>
    </row>
    <row r="1009">
      <c r="A1009" s="21" t="n"/>
      <c r="B1009" s="21" t="n"/>
      <c r="C1009" s="21" t="n"/>
      <c r="D1009" s="21" t="n"/>
      <c r="E1009" s="21" t="n"/>
      <c r="F1009" s="21" t="n"/>
      <c r="G1009" s="21" t="n"/>
      <c r="H1009" s="21" t="n"/>
      <c r="I1009" s="21" t="n"/>
      <c r="J1009" s="21" t="n"/>
      <c r="K1009" s="21" t="n"/>
      <c r="L1009" s="21" t="n"/>
      <c r="M1009" s="21" t="n"/>
      <c r="N1009" s="21" t="n"/>
      <c r="O1009" s="21" t="n"/>
      <c r="P1009" s="21" t="n"/>
      <c r="Q1009" s="21" t="n"/>
      <c r="T1009" s="21" t="n"/>
      <c r="U1009" s="21" t="n"/>
      <c r="V1009" s="21" t="n"/>
      <c r="W1009" s="21" t="n"/>
      <c r="X1009" s="21" t="n"/>
    </row>
    <row r="1010">
      <c r="A1010" s="21" t="n"/>
      <c r="B1010" s="21" t="n"/>
      <c r="C1010" s="21" t="n"/>
      <c r="D1010" s="21" t="n"/>
      <c r="E1010" s="21" t="n"/>
      <c r="F1010" s="21" t="n"/>
      <c r="G1010" s="21" t="n"/>
      <c r="H1010" s="21" t="n"/>
      <c r="I1010" s="21" t="n"/>
      <c r="J1010" s="21" t="n"/>
      <c r="K1010" s="21" t="n"/>
      <c r="L1010" s="21" t="n"/>
      <c r="M1010" s="21" t="n"/>
      <c r="N1010" s="21" t="n"/>
      <c r="O1010" s="21" t="n"/>
      <c r="P1010" s="21" t="n"/>
      <c r="Q1010" s="21" t="n"/>
      <c r="T1010" s="21" t="n"/>
      <c r="U1010" s="21" t="n"/>
      <c r="V1010" s="21" t="n"/>
      <c r="W1010" s="21" t="n"/>
      <c r="X1010" s="21" t="n"/>
    </row>
    <row r="1011">
      <c r="A1011" s="21" t="n"/>
      <c r="B1011" s="21" t="n"/>
      <c r="C1011" s="21" t="n"/>
      <c r="D1011" s="21" t="n"/>
      <c r="E1011" s="21" t="n"/>
      <c r="F1011" s="21" t="n"/>
      <c r="G1011" s="21" t="n"/>
      <c r="H1011" s="21" t="n"/>
      <c r="I1011" s="21" t="n"/>
      <c r="J1011" s="21" t="n"/>
      <c r="K1011" s="21" t="n"/>
      <c r="L1011" s="21" t="n"/>
      <c r="M1011" s="21" t="n"/>
      <c r="N1011" s="21" t="n"/>
      <c r="O1011" s="21" t="n"/>
      <c r="P1011" s="21" t="n"/>
      <c r="Q1011" s="21" t="n"/>
      <c r="T1011" s="21" t="n"/>
      <c r="U1011" s="21" t="n"/>
      <c r="V1011" s="21" t="n"/>
      <c r="W1011" s="21" t="n"/>
      <c r="X1011" s="21" t="n"/>
    </row>
    <row r="1012">
      <c r="A1012" s="21" t="n"/>
      <c r="B1012" s="21" t="n"/>
      <c r="C1012" s="21" t="n"/>
      <c r="D1012" s="21" t="n"/>
      <c r="E1012" s="21" t="n"/>
      <c r="F1012" s="21" t="n"/>
      <c r="G1012" s="21" t="n"/>
      <c r="H1012" s="21" t="n"/>
      <c r="I1012" s="21" t="n"/>
      <c r="J1012" s="21" t="n"/>
      <c r="K1012" s="21" t="n"/>
      <c r="L1012" s="21" t="n"/>
      <c r="M1012" s="21" t="n"/>
      <c r="N1012" s="21" t="n"/>
      <c r="O1012" s="21" t="n"/>
      <c r="P1012" s="21" t="n"/>
      <c r="Q1012" s="21" t="n"/>
      <c r="T1012" s="21" t="n"/>
      <c r="U1012" s="21" t="n"/>
      <c r="V1012" s="21" t="n"/>
      <c r="W1012" s="21" t="n"/>
      <c r="X1012" s="21" t="n"/>
    </row>
    <row r="1013">
      <c r="A1013" s="21" t="n"/>
      <c r="B1013" s="21" t="n"/>
      <c r="C1013" s="21" t="n"/>
      <c r="D1013" s="21" t="n"/>
      <c r="E1013" s="21" t="n"/>
      <c r="F1013" s="21" t="n"/>
      <c r="G1013" s="21" t="n"/>
      <c r="H1013" s="21" t="n"/>
      <c r="I1013" s="21" t="n"/>
      <c r="J1013" s="21" t="n"/>
      <c r="K1013" s="21" t="n"/>
      <c r="L1013" s="21" t="n"/>
      <c r="M1013" s="21" t="n"/>
      <c r="N1013" s="21" t="n"/>
      <c r="O1013" s="21" t="n"/>
      <c r="P1013" s="21" t="n"/>
      <c r="Q1013" s="21" t="n"/>
      <c r="T1013" s="21" t="n"/>
      <c r="U1013" s="21" t="n"/>
      <c r="V1013" s="21" t="n"/>
      <c r="W1013" s="21" t="n"/>
      <c r="X1013" s="21" t="n"/>
    </row>
    <row r="1014">
      <c r="A1014" s="21" t="n"/>
      <c r="B1014" s="21" t="n"/>
      <c r="C1014" s="21" t="n"/>
      <c r="D1014" s="21" t="n"/>
      <c r="E1014" s="21" t="n"/>
      <c r="F1014" s="21" t="n"/>
      <c r="G1014" s="21" t="n"/>
      <c r="H1014" s="21" t="n"/>
      <c r="I1014" s="21" t="n"/>
      <c r="J1014" s="21" t="n"/>
      <c r="K1014" s="21" t="n"/>
      <c r="L1014" s="21" t="n"/>
      <c r="M1014" s="21" t="n"/>
      <c r="N1014" s="21" t="n"/>
      <c r="O1014" s="21" t="n"/>
      <c r="P1014" s="21" t="n"/>
      <c r="Q1014" s="21" t="n"/>
      <c r="T1014" s="21" t="n"/>
      <c r="U1014" s="21" t="n"/>
      <c r="V1014" s="21" t="n"/>
      <c r="W1014" s="21" t="n"/>
      <c r="X1014" s="21" t="n"/>
    </row>
    <row r="1015">
      <c r="A1015" s="21" t="n"/>
      <c r="B1015" s="21" t="n"/>
      <c r="C1015" s="21" t="n"/>
      <c r="D1015" s="21" t="n"/>
      <c r="E1015" s="21" t="n"/>
      <c r="F1015" s="21" t="n"/>
      <c r="G1015" s="21" t="n"/>
      <c r="H1015" s="21" t="n"/>
      <c r="I1015" s="21" t="n"/>
      <c r="J1015" s="21" t="n"/>
      <c r="K1015" s="21" t="n"/>
      <c r="L1015" s="21" t="n"/>
      <c r="M1015" s="21" t="n"/>
      <c r="N1015" s="21" t="n"/>
      <c r="O1015" s="21" t="n"/>
      <c r="P1015" s="21" t="n"/>
      <c r="Q1015" s="21" t="n"/>
      <c r="T1015" s="21" t="n"/>
      <c r="U1015" s="21" t="n"/>
      <c r="V1015" s="21" t="n"/>
      <c r="W1015" s="21" t="n"/>
      <c r="X1015" s="21" t="n"/>
    </row>
    <row r="1016">
      <c r="A1016" s="21" t="n"/>
      <c r="B1016" s="21" t="n"/>
      <c r="C1016" s="21" t="n"/>
      <c r="D1016" s="21" t="n"/>
      <c r="E1016" s="21" t="n"/>
      <c r="F1016" s="21" t="n"/>
      <c r="G1016" s="21" t="n"/>
      <c r="H1016" s="21" t="n"/>
      <c r="I1016" s="21" t="n"/>
      <c r="J1016" s="21" t="n"/>
      <c r="K1016" s="21" t="n"/>
      <c r="L1016" s="21" t="n"/>
      <c r="M1016" s="21" t="n"/>
      <c r="N1016" s="21" t="n"/>
      <c r="O1016" s="21" t="n"/>
      <c r="P1016" s="21" t="n"/>
      <c r="Q1016" s="21" t="n"/>
      <c r="T1016" s="21" t="n"/>
      <c r="U1016" s="21" t="n"/>
      <c r="V1016" s="21" t="n"/>
      <c r="W1016" s="21" t="n"/>
      <c r="X1016" s="21" t="n"/>
    </row>
    <row r="1017">
      <c r="A1017" s="21" t="n"/>
      <c r="B1017" s="21" t="n"/>
      <c r="C1017" s="21" t="n"/>
      <c r="D1017" s="21" t="n"/>
      <c r="E1017" s="21" t="n"/>
      <c r="F1017" s="21" t="n"/>
      <c r="G1017" s="21" t="n"/>
      <c r="H1017" s="21" t="n"/>
      <c r="I1017" s="21" t="n"/>
      <c r="J1017" s="21" t="n"/>
      <c r="K1017" s="21" t="n"/>
      <c r="L1017" s="21" t="n"/>
      <c r="M1017" s="21" t="n"/>
      <c r="N1017" s="21" t="n"/>
      <c r="O1017" s="21" t="n"/>
      <c r="P1017" s="21" t="n"/>
      <c r="Q1017" s="21" t="n"/>
      <c r="T1017" s="21" t="n"/>
      <c r="U1017" s="21" t="n"/>
      <c r="V1017" s="21" t="n"/>
      <c r="W1017" s="21" t="n"/>
      <c r="X1017" s="21" t="n"/>
    </row>
    <row r="1018">
      <c r="A1018" s="21" t="n"/>
      <c r="B1018" s="21" t="n"/>
      <c r="C1018" s="21" t="n"/>
      <c r="D1018" s="21" t="n"/>
      <c r="E1018" s="21" t="n"/>
      <c r="F1018" s="21" t="n"/>
      <c r="G1018" s="21" t="n"/>
      <c r="H1018" s="21" t="n"/>
      <c r="I1018" s="21" t="n"/>
      <c r="J1018" s="21" t="n"/>
      <c r="K1018" s="21" t="n"/>
      <c r="L1018" s="21" t="n"/>
      <c r="M1018" s="21" t="n"/>
      <c r="N1018" s="21" t="n"/>
      <c r="O1018" s="21" t="n"/>
      <c r="P1018" s="21" t="n"/>
      <c r="Q1018" s="21" t="n"/>
      <c r="T1018" s="21" t="n"/>
      <c r="U1018" s="21" t="n"/>
      <c r="V1018" s="21" t="n"/>
      <c r="W1018" s="21" t="n"/>
      <c r="X1018" s="21" t="n"/>
    </row>
    <row r="1019">
      <c r="A1019" s="21" t="n"/>
      <c r="B1019" s="21" t="n"/>
      <c r="C1019" s="21" t="n"/>
      <c r="D1019" s="21" t="n"/>
      <c r="E1019" s="21" t="n"/>
      <c r="F1019" s="21" t="n"/>
      <c r="G1019" s="21" t="n"/>
      <c r="H1019" s="21" t="n"/>
      <c r="I1019" s="21" t="n"/>
      <c r="J1019" s="21" t="n"/>
      <c r="K1019" s="21" t="n"/>
      <c r="L1019" s="21" t="n"/>
      <c r="M1019" s="21" t="n"/>
      <c r="N1019" s="21" t="n"/>
      <c r="O1019" s="21" t="n"/>
      <c r="P1019" s="21" t="n"/>
      <c r="Q1019" s="21" t="n"/>
      <c r="T1019" s="21" t="n"/>
      <c r="U1019" s="21" t="n"/>
      <c r="V1019" s="21" t="n"/>
      <c r="W1019" s="21" t="n"/>
      <c r="X1019" s="21" t="n"/>
    </row>
    <row r="1020">
      <c r="A1020" s="21" t="n"/>
      <c r="B1020" s="21" t="n"/>
      <c r="C1020" s="21" t="n"/>
      <c r="D1020" s="21" t="n"/>
      <c r="E1020" s="21" t="n"/>
      <c r="F1020" s="21" t="n"/>
      <c r="G1020" s="21" t="n"/>
      <c r="H1020" s="21" t="n"/>
      <c r="I1020" s="21" t="n"/>
      <c r="J1020" s="21" t="n"/>
      <c r="K1020" s="21" t="n"/>
      <c r="L1020" s="21" t="n"/>
      <c r="M1020" s="21" t="n"/>
      <c r="N1020" s="21" t="n"/>
      <c r="O1020" s="21" t="n"/>
      <c r="P1020" s="21" t="n"/>
      <c r="Q1020" s="21" t="n"/>
      <c r="T1020" s="21" t="n"/>
      <c r="U1020" s="21" t="n"/>
      <c r="V1020" s="21" t="n"/>
      <c r="W1020" s="21" t="n"/>
      <c r="X1020" s="21" t="n"/>
    </row>
    <row r="1021">
      <c r="A1021" s="21" t="n"/>
      <c r="B1021" s="21" t="n"/>
      <c r="C1021" s="21" t="n"/>
      <c r="D1021" s="21" t="n"/>
      <c r="E1021" s="21" t="n"/>
      <c r="F1021" s="21" t="n"/>
      <c r="G1021" s="21" t="n"/>
      <c r="H1021" s="21" t="n"/>
      <c r="I1021" s="21" t="n"/>
      <c r="J1021" s="21" t="n"/>
      <c r="K1021" s="21" t="n"/>
      <c r="L1021" s="21" t="n"/>
      <c r="M1021" s="21" t="n"/>
      <c r="N1021" s="21" t="n"/>
      <c r="O1021" s="21" t="n"/>
      <c r="P1021" s="21" t="n"/>
      <c r="Q1021" s="21" t="n"/>
      <c r="T1021" s="21" t="n"/>
      <c r="U1021" s="21" t="n"/>
      <c r="V1021" s="21" t="n"/>
      <c r="W1021" s="21" t="n"/>
      <c r="X1021" s="21" t="n"/>
    </row>
    <row r="1022">
      <c r="A1022" s="21" t="n"/>
      <c r="B1022" s="21" t="n"/>
      <c r="C1022" s="21" t="n"/>
      <c r="D1022" s="21" t="n"/>
      <c r="E1022" s="21" t="n"/>
      <c r="F1022" s="21" t="n"/>
      <c r="G1022" s="21" t="n"/>
      <c r="H1022" s="21" t="n"/>
      <c r="I1022" s="21" t="n"/>
      <c r="J1022" s="21" t="n"/>
      <c r="K1022" s="21" t="n"/>
      <c r="L1022" s="21" t="n"/>
      <c r="M1022" s="21" t="n"/>
      <c r="N1022" s="21" t="n"/>
      <c r="O1022" s="21" t="n"/>
      <c r="P1022" s="21" t="n"/>
      <c r="Q1022" s="21" t="n"/>
      <c r="T1022" s="21" t="n"/>
      <c r="U1022" s="21" t="n"/>
      <c r="V1022" s="21" t="n"/>
      <c r="W1022" s="21" t="n"/>
      <c r="X1022" s="21" t="n"/>
    </row>
    <row r="1023">
      <c r="A1023" s="21" t="n"/>
      <c r="B1023" s="21" t="n"/>
      <c r="C1023" s="21" t="n"/>
      <c r="D1023" s="21" t="n"/>
      <c r="E1023" s="21" t="n"/>
      <c r="F1023" s="21" t="n"/>
      <c r="G1023" s="21" t="n"/>
      <c r="H1023" s="21" t="n"/>
      <c r="I1023" s="21" t="n"/>
      <c r="J1023" s="21" t="n"/>
      <c r="K1023" s="21" t="n"/>
      <c r="L1023" s="21" t="n"/>
      <c r="M1023" s="21" t="n"/>
      <c r="N1023" s="21" t="n"/>
      <c r="O1023" s="21" t="n"/>
      <c r="P1023" s="21" t="n"/>
      <c r="Q1023" s="21" t="n"/>
      <c r="T1023" s="21" t="n"/>
      <c r="U1023" s="21" t="n"/>
      <c r="V1023" s="21" t="n"/>
      <c r="W1023" s="21" t="n"/>
      <c r="X1023" s="21" t="n"/>
    </row>
    <row r="1024">
      <c r="A1024" s="21" t="n"/>
      <c r="B1024" s="21" t="n"/>
      <c r="C1024" s="21" t="n"/>
      <c r="D1024" s="21" t="n"/>
      <c r="E1024" s="21" t="n"/>
      <c r="F1024" s="21" t="n"/>
      <c r="G1024" s="21" t="n"/>
      <c r="H1024" s="21" t="n"/>
      <c r="I1024" s="21" t="n"/>
      <c r="J1024" s="21" t="n"/>
      <c r="K1024" s="21" t="n"/>
      <c r="L1024" s="21" t="n"/>
      <c r="M1024" s="21" t="n"/>
      <c r="N1024" s="21" t="n"/>
      <c r="O1024" s="21" t="n"/>
      <c r="P1024" s="21" t="n"/>
      <c r="Q1024" s="21" t="n"/>
      <c r="T1024" s="21" t="n"/>
      <c r="U1024" s="21" t="n"/>
      <c r="V1024" s="21" t="n"/>
      <c r="W1024" s="21" t="n"/>
      <c r="X1024" s="21" t="n"/>
    </row>
    <row r="1025">
      <c r="A1025" s="21" t="n"/>
      <c r="B1025" s="21" t="n"/>
      <c r="C1025" s="21" t="n"/>
      <c r="D1025" s="21" t="n"/>
      <c r="E1025" s="21" t="n"/>
      <c r="F1025" s="21" t="n"/>
      <c r="G1025" s="21" t="n"/>
      <c r="H1025" s="21" t="n"/>
      <c r="I1025" s="21" t="n"/>
      <c r="J1025" s="21" t="n"/>
      <c r="K1025" s="21" t="n"/>
      <c r="L1025" s="21" t="n"/>
      <c r="M1025" s="21" t="n"/>
      <c r="N1025" s="21" t="n"/>
      <c r="O1025" s="21" t="n"/>
      <c r="P1025" s="21" t="n"/>
      <c r="Q1025" s="21" t="n"/>
      <c r="T1025" s="21" t="n"/>
      <c r="U1025" s="21" t="n"/>
      <c r="V1025" s="21" t="n"/>
      <c r="W1025" s="21" t="n"/>
      <c r="X1025" s="21" t="n"/>
    </row>
    <row r="1026">
      <c r="A1026" s="21" t="n"/>
      <c r="B1026" s="21" t="n"/>
      <c r="C1026" s="21" t="n"/>
      <c r="D1026" s="21" t="n"/>
      <c r="E1026" s="21" t="n"/>
      <c r="F1026" s="21" t="n"/>
      <c r="G1026" s="21" t="n"/>
      <c r="H1026" s="21" t="n"/>
      <c r="I1026" s="21" t="n"/>
      <c r="J1026" s="21" t="n"/>
      <c r="K1026" s="21" t="n"/>
      <c r="L1026" s="21" t="n"/>
      <c r="M1026" s="21" t="n"/>
      <c r="N1026" s="21" t="n"/>
      <c r="O1026" s="21" t="n"/>
      <c r="P1026" s="21" t="n"/>
      <c r="Q1026" s="21" t="n"/>
      <c r="T1026" s="21" t="n"/>
      <c r="U1026" s="21" t="n"/>
      <c r="V1026" s="21" t="n"/>
      <c r="W1026" s="21" t="n"/>
      <c r="X1026" s="21" t="n"/>
    </row>
    <row r="1027">
      <c r="A1027" s="21" t="n"/>
      <c r="B1027" s="21" t="n"/>
      <c r="C1027" s="21" t="n"/>
      <c r="D1027" s="21" t="n"/>
      <c r="E1027" s="21" t="n"/>
      <c r="F1027" s="21" t="n"/>
      <c r="G1027" s="21" t="n"/>
      <c r="H1027" s="21" t="n"/>
      <c r="I1027" s="21" t="n"/>
      <c r="J1027" s="21" t="n"/>
      <c r="K1027" s="21" t="n"/>
      <c r="L1027" s="21" t="n"/>
      <c r="M1027" s="21" t="n"/>
      <c r="N1027" s="21" t="n"/>
      <c r="O1027" s="21" t="n"/>
      <c r="P1027" s="21" t="n"/>
      <c r="Q1027" s="21" t="n"/>
      <c r="T1027" s="21" t="n"/>
      <c r="U1027" s="21" t="n"/>
      <c r="V1027" s="21" t="n"/>
      <c r="W1027" s="21" t="n"/>
      <c r="X1027" s="21" t="n"/>
    </row>
    <row r="1028">
      <c r="A1028" s="21" t="n"/>
      <c r="B1028" s="21" t="n"/>
      <c r="C1028" s="21" t="n"/>
      <c r="D1028" s="21" t="n"/>
      <c r="E1028" s="21" t="n"/>
      <c r="F1028" s="21" t="n"/>
      <c r="G1028" s="21" t="n"/>
      <c r="H1028" s="21" t="n"/>
      <c r="I1028" s="21" t="n"/>
      <c r="J1028" s="21" t="n"/>
      <c r="K1028" s="21" t="n"/>
      <c r="L1028" s="21" t="n"/>
      <c r="M1028" s="21" t="n"/>
      <c r="N1028" s="21" t="n"/>
      <c r="O1028" s="21" t="n"/>
      <c r="P1028" s="21" t="n"/>
      <c r="Q1028" s="21" t="n"/>
      <c r="T1028" s="21" t="n"/>
      <c r="U1028" s="21" t="n"/>
      <c r="V1028" s="21" t="n"/>
      <c r="W1028" s="21" t="n"/>
      <c r="X1028" s="21" t="n"/>
    </row>
    <row r="1029">
      <c r="A1029" s="21" t="n"/>
      <c r="B1029" s="21" t="n"/>
      <c r="C1029" s="21" t="n"/>
      <c r="D1029" s="21" t="n"/>
      <c r="E1029" s="21" t="n"/>
      <c r="F1029" s="21" t="n"/>
      <c r="G1029" s="21" t="n"/>
      <c r="H1029" s="21" t="n"/>
      <c r="I1029" s="21" t="n"/>
      <c r="J1029" s="21" t="n"/>
      <c r="K1029" s="21" t="n"/>
      <c r="L1029" s="21" t="n"/>
      <c r="M1029" s="21" t="n"/>
      <c r="N1029" s="21" t="n"/>
      <c r="O1029" s="21" t="n"/>
      <c r="P1029" s="21" t="n"/>
      <c r="Q1029" s="21" t="n"/>
      <c r="T1029" s="21" t="n"/>
      <c r="U1029" s="21" t="n"/>
      <c r="V1029" s="21" t="n"/>
      <c r="W1029" s="21" t="n"/>
      <c r="X1029" s="21" t="n"/>
    </row>
    <row r="1030">
      <c r="A1030" s="21" t="n"/>
      <c r="B1030" s="21" t="n"/>
      <c r="C1030" s="21" t="n"/>
      <c r="D1030" s="21" t="n"/>
      <c r="E1030" s="21" t="n"/>
      <c r="F1030" s="21" t="n"/>
      <c r="G1030" s="21" t="n"/>
      <c r="H1030" s="21" t="n"/>
      <c r="I1030" s="21" t="n"/>
      <c r="J1030" s="21" t="n"/>
      <c r="K1030" s="21" t="n"/>
      <c r="L1030" s="21" t="n"/>
      <c r="M1030" s="21" t="n"/>
      <c r="N1030" s="21" t="n"/>
      <c r="O1030" s="21" t="n"/>
      <c r="P1030" s="21" t="n"/>
      <c r="Q1030" s="21" t="n"/>
      <c r="T1030" s="21" t="n"/>
      <c r="U1030" s="21" t="n"/>
      <c r="V1030" s="21" t="n"/>
      <c r="W1030" s="21" t="n"/>
      <c r="X1030" s="21" t="n"/>
    </row>
    <row r="1031">
      <c r="A1031" s="21" t="n"/>
      <c r="B1031" s="21" t="n"/>
      <c r="C1031" s="21" t="n"/>
      <c r="D1031" s="21" t="n"/>
      <c r="E1031" s="21" t="n"/>
      <c r="F1031" s="21" t="n"/>
      <c r="G1031" s="21" t="n"/>
      <c r="H1031" s="21" t="n"/>
      <c r="I1031" s="21" t="n"/>
      <c r="J1031" s="21" t="n"/>
      <c r="K1031" s="21" t="n"/>
      <c r="L1031" s="21" t="n"/>
      <c r="M1031" s="21" t="n"/>
      <c r="N1031" s="21" t="n"/>
      <c r="O1031" s="21" t="n"/>
      <c r="P1031" s="21" t="n"/>
      <c r="Q1031" s="21" t="n"/>
      <c r="T1031" s="21" t="n"/>
      <c r="U1031" s="21" t="n"/>
      <c r="V1031" s="21" t="n"/>
      <c r="W1031" s="21" t="n"/>
      <c r="X1031" s="21" t="n"/>
    </row>
    <row r="1032">
      <c r="A1032" s="21" t="n"/>
      <c r="B1032" s="21" t="n"/>
      <c r="C1032" s="21" t="n"/>
      <c r="D1032" s="21" t="n"/>
      <c r="E1032" s="21" t="n"/>
      <c r="F1032" s="21" t="n"/>
      <c r="G1032" s="21" t="n"/>
      <c r="H1032" s="21" t="n"/>
      <c r="I1032" s="21" t="n"/>
      <c r="J1032" s="21" t="n"/>
      <c r="K1032" s="21" t="n"/>
      <c r="L1032" s="21" t="n"/>
      <c r="M1032" s="21" t="n"/>
      <c r="N1032" s="21" t="n"/>
      <c r="O1032" s="21" t="n"/>
      <c r="P1032" s="21" t="n"/>
      <c r="Q1032" s="21" t="n"/>
      <c r="T1032" s="21" t="n"/>
      <c r="U1032" s="21" t="n"/>
      <c r="V1032" s="21" t="n"/>
      <c r="W1032" s="21" t="n"/>
      <c r="X1032" s="21" t="n"/>
    </row>
    <row r="1033">
      <c r="A1033" s="21" t="n"/>
      <c r="B1033" s="21" t="n"/>
      <c r="C1033" s="21" t="n"/>
      <c r="D1033" s="21" t="n"/>
      <c r="E1033" s="21" t="n"/>
      <c r="F1033" s="21" t="n"/>
      <c r="G1033" s="21" t="n"/>
      <c r="H1033" s="21" t="n"/>
      <c r="I1033" s="21" t="n"/>
      <c r="J1033" s="21" t="n"/>
      <c r="K1033" s="21" t="n"/>
      <c r="L1033" s="21" t="n"/>
      <c r="M1033" s="21" t="n"/>
      <c r="N1033" s="21" t="n"/>
      <c r="O1033" s="21" t="n"/>
      <c r="P1033" s="21" t="n"/>
      <c r="Q1033" s="21" t="n"/>
      <c r="T1033" s="21" t="n"/>
      <c r="U1033" s="21" t="n"/>
      <c r="V1033" s="21" t="n"/>
      <c r="W1033" s="21" t="n"/>
      <c r="X1033" s="21" t="n"/>
    </row>
    <row r="1034">
      <c r="A1034" s="21" t="n"/>
      <c r="B1034" s="21" t="n"/>
      <c r="C1034" s="21" t="n"/>
      <c r="D1034" s="21" t="n"/>
      <c r="E1034" s="21" t="n"/>
      <c r="F1034" s="21" t="n"/>
      <c r="G1034" s="21" t="n"/>
      <c r="H1034" s="21" t="n"/>
      <c r="I1034" s="21" t="n"/>
      <c r="J1034" s="21" t="n"/>
      <c r="K1034" s="21" t="n"/>
      <c r="L1034" s="21" t="n"/>
      <c r="M1034" s="21" t="n"/>
      <c r="N1034" s="21" t="n"/>
      <c r="O1034" s="21" t="n"/>
      <c r="P1034" s="21" t="n"/>
      <c r="Q1034" s="21" t="n"/>
      <c r="T1034" s="21" t="n"/>
      <c r="U1034" s="21" t="n"/>
      <c r="V1034" s="21" t="n"/>
      <c r="W1034" s="21" t="n"/>
      <c r="X1034" s="21" t="n"/>
    </row>
    <row r="1035">
      <c r="A1035" s="21" t="n"/>
      <c r="B1035" s="21" t="n"/>
      <c r="C1035" s="21" t="n"/>
      <c r="D1035" s="21" t="n"/>
      <c r="E1035" s="21" t="n"/>
      <c r="F1035" s="21" t="n"/>
      <c r="G1035" s="21" t="n"/>
      <c r="H1035" s="21" t="n"/>
      <c r="I1035" s="21" t="n"/>
      <c r="J1035" s="21" t="n"/>
      <c r="K1035" s="21" t="n"/>
      <c r="L1035" s="21" t="n"/>
      <c r="M1035" s="21" t="n"/>
      <c r="N1035" s="21" t="n"/>
      <c r="O1035" s="21" t="n"/>
      <c r="P1035" s="21" t="n"/>
      <c r="Q1035" s="21" t="n"/>
      <c r="T1035" s="21" t="n"/>
      <c r="U1035" s="21" t="n"/>
      <c r="V1035" s="21" t="n"/>
      <c r="W1035" s="21" t="n"/>
      <c r="X1035" s="21" t="n"/>
    </row>
    <row r="1036">
      <c r="A1036" s="21" t="n"/>
      <c r="B1036" s="21" t="n"/>
      <c r="C1036" s="21" t="n"/>
      <c r="D1036" s="21" t="n"/>
      <c r="E1036" s="21" t="n"/>
      <c r="F1036" s="21" t="n"/>
      <c r="G1036" s="21" t="n"/>
      <c r="H1036" s="21" t="n"/>
      <c r="I1036" s="21" t="n"/>
      <c r="J1036" s="21" t="n"/>
      <c r="K1036" s="21" t="n"/>
      <c r="L1036" s="21" t="n"/>
      <c r="M1036" s="21" t="n"/>
      <c r="N1036" s="21" t="n"/>
      <c r="O1036" s="21" t="n"/>
      <c r="P1036" s="21" t="n"/>
      <c r="Q1036" s="21" t="n"/>
      <c r="T1036" s="21" t="n"/>
      <c r="U1036" s="21" t="n"/>
      <c r="V1036" s="21" t="n"/>
      <c r="W1036" s="21" t="n"/>
      <c r="X1036" s="21" t="n"/>
    </row>
    <row r="1037">
      <c r="A1037" s="21" t="n"/>
      <c r="B1037" s="21" t="n"/>
      <c r="C1037" s="21" t="n"/>
      <c r="D1037" s="21" t="n"/>
      <c r="E1037" s="21" t="n"/>
      <c r="F1037" s="21" t="n"/>
      <c r="G1037" s="21" t="n"/>
      <c r="H1037" s="21" t="n"/>
      <c r="I1037" s="21" t="n"/>
      <c r="J1037" s="21" t="n"/>
      <c r="K1037" s="21" t="n"/>
      <c r="L1037" s="21" t="n"/>
      <c r="M1037" s="21" t="n"/>
      <c r="N1037" s="21" t="n"/>
      <c r="O1037" s="21" t="n"/>
      <c r="P1037" s="21" t="n"/>
      <c r="Q1037" s="21" t="n"/>
      <c r="T1037" s="21" t="n"/>
      <c r="U1037" s="21" t="n"/>
      <c r="V1037" s="21" t="n"/>
      <c r="W1037" s="21" t="n"/>
      <c r="X1037" s="21" t="n"/>
    </row>
    <row r="1038">
      <c r="A1038" s="21" t="n"/>
      <c r="B1038" s="21" t="n"/>
      <c r="C1038" s="21" t="n"/>
      <c r="D1038" s="21" t="n"/>
      <c r="E1038" s="21" t="n"/>
      <c r="F1038" s="21" t="n"/>
      <c r="G1038" s="21" t="n"/>
      <c r="H1038" s="21" t="n"/>
      <c r="I1038" s="21" t="n"/>
      <c r="J1038" s="21" t="n"/>
      <c r="K1038" s="21" t="n"/>
      <c r="L1038" s="21" t="n"/>
      <c r="M1038" s="21" t="n"/>
      <c r="N1038" s="21" t="n"/>
      <c r="O1038" s="21" t="n"/>
      <c r="P1038" s="21" t="n"/>
      <c r="Q1038" s="21" t="n"/>
      <c r="T1038" s="21" t="n"/>
      <c r="U1038" s="21" t="n"/>
      <c r="V1038" s="21" t="n"/>
      <c r="W1038" s="21" t="n"/>
      <c r="X1038" s="21" t="n"/>
    </row>
    <row r="1039">
      <c r="A1039" s="21" t="n"/>
      <c r="B1039" s="21" t="n"/>
      <c r="C1039" s="21" t="n"/>
      <c r="D1039" s="21" t="n"/>
      <c r="E1039" s="21" t="n"/>
      <c r="F1039" s="21" t="n"/>
      <c r="G1039" s="21" t="n"/>
      <c r="H1039" s="21" t="n"/>
      <c r="I1039" s="21" t="n"/>
      <c r="J1039" s="21" t="n"/>
      <c r="K1039" s="21" t="n"/>
      <c r="L1039" s="21" t="n"/>
      <c r="M1039" s="21" t="n"/>
      <c r="N1039" s="21" t="n"/>
      <c r="O1039" s="21" t="n"/>
      <c r="P1039" s="21" t="n"/>
      <c r="Q1039" s="21" t="n"/>
      <c r="T1039" s="21" t="n"/>
      <c r="U1039" s="21" t="n"/>
      <c r="V1039" s="21" t="n"/>
      <c r="W1039" s="21" t="n"/>
      <c r="X1039" s="21" t="n"/>
    </row>
    <row r="1040">
      <c r="A1040" s="21" t="n"/>
      <c r="B1040" s="21" t="n"/>
      <c r="C1040" s="21" t="n"/>
      <c r="D1040" s="21" t="n"/>
      <c r="E1040" s="21" t="n"/>
      <c r="F1040" s="21" t="n"/>
      <c r="G1040" s="21" t="n"/>
      <c r="H1040" s="21" t="n"/>
      <c r="I1040" s="21" t="n"/>
      <c r="J1040" s="21" t="n"/>
      <c r="K1040" s="21" t="n"/>
      <c r="L1040" s="21" t="n"/>
      <c r="M1040" s="21" t="n"/>
      <c r="N1040" s="21" t="n"/>
      <c r="O1040" s="21" t="n"/>
      <c r="P1040" s="21" t="n"/>
      <c r="Q1040" s="21" t="n"/>
      <c r="T1040" s="21" t="n"/>
      <c r="U1040" s="21" t="n"/>
      <c r="V1040" s="21" t="n"/>
      <c r="W1040" s="21" t="n"/>
      <c r="X1040" s="21" t="n"/>
    </row>
    <row r="1041">
      <c r="A1041" s="21" t="n"/>
      <c r="B1041" s="21" t="n"/>
      <c r="C1041" s="21" t="n"/>
      <c r="D1041" s="21" t="n"/>
      <c r="E1041" s="21" t="n"/>
      <c r="F1041" s="21" t="n"/>
      <c r="G1041" s="21" t="n"/>
      <c r="H1041" s="21" t="n"/>
      <c r="I1041" s="21" t="n"/>
      <c r="J1041" s="21" t="n"/>
      <c r="K1041" s="21" t="n"/>
      <c r="L1041" s="21" t="n"/>
      <c r="M1041" s="21" t="n"/>
      <c r="N1041" s="21" t="n"/>
      <c r="O1041" s="21" t="n"/>
      <c r="P1041" s="21" t="n"/>
      <c r="Q1041" s="21" t="n"/>
      <c r="T1041" s="21" t="n"/>
      <c r="U1041" s="21" t="n"/>
      <c r="V1041" s="21" t="n"/>
      <c r="W1041" s="21" t="n"/>
      <c r="X1041" s="21" t="n"/>
    </row>
    <row r="1042">
      <c r="A1042" s="21" t="n"/>
      <c r="B1042" s="21" t="n"/>
      <c r="C1042" s="21" t="n"/>
      <c r="D1042" s="21" t="n"/>
      <c r="E1042" s="21" t="n"/>
      <c r="F1042" s="21" t="n"/>
      <c r="G1042" s="21" t="n"/>
      <c r="H1042" s="21" t="n"/>
      <c r="I1042" s="21" t="n"/>
      <c r="J1042" s="21" t="n"/>
      <c r="K1042" s="21" t="n"/>
      <c r="L1042" s="21" t="n"/>
      <c r="M1042" s="21" t="n"/>
      <c r="N1042" s="21" t="n"/>
      <c r="O1042" s="21" t="n"/>
      <c r="P1042" s="21" t="n"/>
      <c r="Q1042" s="21" t="n"/>
      <c r="T1042" s="21" t="n"/>
      <c r="U1042" s="21" t="n"/>
      <c r="V1042" s="21" t="n"/>
      <c r="W1042" s="21" t="n"/>
      <c r="X1042" s="21" t="n"/>
    </row>
    <row r="1043">
      <c r="A1043" s="21" t="n"/>
      <c r="B1043" s="21" t="n"/>
      <c r="C1043" s="21" t="n"/>
      <c r="D1043" s="21" t="n"/>
      <c r="E1043" s="21" t="n"/>
      <c r="F1043" s="21" t="n"/>
      <c r="G1043" s="21" t="n"/>
      <c r="H1043" s="21" t="n"/>
      <c r="I1043" s="21" t="n"/>
      <c r="J1043" s="21" t="n"/>
      <c r="K1043" s="21" t="n"/>
      <c r="L1043" s="21" t="n"/>
      <c r="M1043" s="21" t="n"/>
      <c r="N1043" s="21" t="n"/>
      <c r="O1043" s="21" t="n"/>
      <c r="P1043" s="21" t="n"/>
      <c r="Q1043" s="21" t="n"/>
      <c r="T1043" s="21" t="n"/>
      <c r="U1043" s="21" t="n"/>
      <c r="V1043" s="21" t="n"/>
      <c r="W1043" s="21" t="n"/>
      <c r="X1043" s="21" t="n"/>
    </row>
  </sheetData>
  <dataValidations count="1">
    <dataValidation sqref="A2:A308" showDropDown="0" showInputMessage="0" showErrorMessage="0" allowBlank="1" type="list">
      <formula1>"resource,logistics,use,business,sale,service,reverse,recovery"</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X1047"/>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10.13" customWidth="1" style="76" min="1" max="1"/>
    <col width="5.63" customWidth="1" style="76" min="2" max="2"/>
    <col width="10.75" customWidth="1" style="76" min="3" max="3"/>
    <col width="22.38" customWidth="1" style="76" min="4" max="4"/>
    <col width="23.75" customWidth="1" style="76" min="5" max="5"/>
    <col width="31.38" customWidth="1" style="76" min="6" max="8"/>
    <col width="33.38" customWidth="1" style="76" min="9" max="9"/>
    <col width="22.75" customWidth="1" style="76" min="10" max="10"/>
    <col width="35.13" customWidth="1" style="76" min="11" max="11"/>
    <col width="24" customWidth="1" style="76" min="12" max="12"/>
    <col width="16.13" customWidth="1" style="76" min="13" max="13"/>
    <col width="23.63" customWidth="1" style="76" min="14" max="14"/>
    <col width="17.5" customWidth="1" style="76" min="15" max="15"/>
    <col width="17.75" customWidth="1" style="76" min="16" max="16"/>
    <col width="51" customWidth="1" style="76" min="17" max="17"/>
  </cols>
  <sheetData>
    <row r="1">
      <c r="A1" s="1" t="inlineStr">
        <is>
          <t>TYPE</t>
        </is>
      </c>
      <c r="B1" s="1" t="inlineStr">
        <is>
          <t>ID</t>
        </is>
      </c>
      <c r="C1" s="1" t="inlineStr">
        <is>
          <t>X1</t>
        </is>
      </c>
      <c r="D1" s="1" t="inlineStr">
        <is>
          <t>X2</t>
        </is>
      </c>
      <c r="E1" s="1" t="inlineStr">
        <is>
          <t>X3</t>
        </is>
      </c>
      <c r="F1" s="1" t="inlineStr">
        <is>
          <t>AUTHOR_ID</t>
        </is>
      </c>
      <c r="G1" s="1" t="inlineStr">
        <is>
          <t>SCIENTIFIC SATURATION</t>
        </is>
      </c>
      <c r="H1" s="1" t="inlineStr">
        <is>
          <t>HOW</t>
        </is>
      </c>
      <c r="I1" s="1" t="inlineStr">
        <is>
          <t>WHY</t>
        </is>
      </c>
      <c r="J1" s="1" t="inlineStr">
        <is>
          <t>USE</t>
        </is>
      </c>
      <c r="K1" s="1" t="inlineStr">
        <is>
          <t>CHARACTERISTICS</t>
        </is>
      </c>
      <c r="L1" s="1" t="inlineStr">
        <is>
          <t>QUESTIONS TO ANSWER</t>
        </is>
      </c>
      <c r="M1" s="1" t="inlineStr">
        <is>
          <t>CASE_STUDY_ID</t>
        </is>
      </c>
      <c r="N1" s="28" t="inlineStr">
        <is>
          <t>REFERENCES</t>
        </is>
      </c>
      <c r="O1" s="27" t="inlineStr">
        <is>
          <t>PRODUCT-TAGS</t>
        </is>
      </c>
      <c r="P1" s="28" t="inlineStr">
        <is>
          <t>CIRCULARITY_INDEX</t>
        </is>
      </c>
      <c r="Q1" s="28" t="inlineStr">
        <is>
          <t>DFX_RELATIONSHIP</t>
        </is>
      </c>
      <c r="R1" s="28" t="inlineStr">
        <is>
          <t>LOOP</t>
        </is>
      </c>
      <c r="S1" s="28" t="inlineStr">
        <is>
          <t>APPLIES_TO</t>
        </is>
      </c>
      <c r="T1" s="28" t="inlineStr">
        <is>
          <t>HIDDEN_USER</t>
        </is>
      </c>
      <c r="U1" s="28" t="inlineStr">
        <is>
          <t>HIDDEN_LAST_UPDATE</t>
        </is>
      </c>
      <c r="V1" s="28" t="n"/>
      <c r="W1" s="28" t="n"/>
      <c r="X1" s="28" t="n"/>
    </row>
    <row r="2" ht="75" customHeight="1" s="76">
      <c r="A2" s="21" t="inlineStr">
        <is>
          <t>resource</t>
        </is>
      </c>
      <c r="B2" s="21" t="n">
        <v>205</v>
      </c>
      <c r="C2" s="1" t="inlineStr">
        <is>
          <t>Df Recycle</t>
        </is>
      </c>
      <c r="D2" s="21" t="inlineStr">
        <is>
          <t>Df Efficient Use of Materials</t>
        </is>
      </c>
      <c r="E2" s="21" t="inlineStr">
        <is>
          <t>Df Efficient Use of Materials</t>
        </is>
      </c>
      <c r="F2" s="21" t="n">
        <v>1</v>
      </c>
      <c r="G2" s="21" t="n"/>
      <c r="H2" s="21" t="inlineStr">
        <is>
          <t>Design for Efficient Use of Materials requires a systematic evaluation of all materials in a product to minimise consumption while maintaining functional performance. The designer should conduct material flow analysis to identify where materials are wasted, over-specified, or could be substituted with more recyclable alternatives. Strategies include lightweighting through topology optimisation, reducing material variety, specifying recycled content, and designing for material recovery at end of life.</t>
        </is>
      </c>
      <c r="I2" s="21" t="inlineStr">
        <is>
          <t>Material efficiency refers to the utilisation of materials or physical processes that consume less material, create greater outputs/outcomes, and produce fewer wastes. The entire range of materials related to product attributes should be evaluated in a systematic process to facilitate that a balanced perspective on material considerations is adopted and that the value placed on material characteristics is consistent with their importance for design rather than being influenced by the availability and reliability of data on the properties of the materials.</t>
        </is>
      </c>
      <c r="J2" s="21" t="inlineStr">
        <is>
          <t>Material efficiency is relevant across all product categories but is particularly impactful for material-intensive products: packaging, construction materials, automotive components, furniture, and consumer electronics. The designer should evaluate the entire material lifecycle — extraction, processing, manufacturing scrap, in-use consumption, and end-of-life recovery — to identify the greatest efficiency opportunities.</t>
        </is>
      </c>
      <c r="K2" s="21" t="inlineStr">
        <is>
          <t>Products designed for material efficiency feature: optimised material specifications that avoid over-engineering; minimal manufacturing waste through efficient cutting, moulding, and assembly processes; recycled or renewable material content where performance allows; material choices that facilitate end-of-life separation and recycling; and documentation of material composition for future recyclers.</t>
        </is>
      </c>
      <c r="L2" s="21" t="inlineStr">
        <is>
          <t>• Where in the product lifecycle is material waste highest — manufacturing, use, or end of life?
• Can material specifications be reduced without compromising functional performance?
• What percentage of recycled content can be incorporated while meeting quality requirements?
• Are all materials in the product necessary, or can some be eliminated through design optimisation?
• How will material choices affect recyclability at end of life?</t>
        </is>
      </c>
      <c r="M2" s="21" t="n">
        <v>115</v>
      </c>
      <c r="N2" s="21" t="inlineStr">
        <is>
          <t>Hodgson, S. N. B., and J. F. Harper. ‘effective Use Of Materials In The Design Process: More Than A Selection Problem’. DS 33: Proceedings of E&amp;PDE 2004, the 7th International Conference on Engineering and Product Design Education, Delft, the Netherlands, 02.-03.09.2004, 2004, 593–601.</t>
        </is>
      </c>
      <c r="O2" s="21" t="n"/>
      <c r="P2" s="21" t="n"/>
      <c r="Q2" s="21" t="n"/>
      <c r="R2" s="21" t="inlineStr">
        <is>
          <t>LOOP 1,LOOP N,LAST LOOP</t>
        </is>
      </c>
      <c r="S2" s="21" t="inlineStr">
        <is>
          <t>Materials,Components,Products</t>
        </is>
      </c>
      <c r="T2" s="21" t="n"/>
      <c r="U2" s="21" t="n"/>
      <c r="V2" s="21" t="n"/>
      <c r="W2" s="21" t="n"/>
      <c r="X2" s="21" t="n"/>
    </row>
    <row r="3" ht="75" customHeight="1" s="76">
      <c r="A3" s="21" t="inlineStr">
        <is>
          <t>resource</t>
        </is>
      </c>
      <c r="B3" s="21" t="n">
        <v>206</v>
      </c>
      <c r="C3" s="1" t="inlineStr">
        <is>
          <t>Df Recycle</t>
        </is>
      </c>
      <c r="D3" s="21" t="inlineStr">
        <is>
          <t>Df Efficient Use of Materials</t>
        </is>
      </c>
      <c r="E3" s="21" t="inlineStr">
        <is>
          <t>Df Ease of Recycling</t>
        </is>
      </c>
      <c r="F3" s="21" t="n"/>
      <c r="G3" s="21" t="n"/>
      <c r="H3" s="21" t="inlineStr">
        <is>
          <t>The designer should map the available recycling infrastructure for each material in the product, select materials that are compatible with established recycling streams, avoid material combinations that create contamination (e.g. mixed plastics, composite materials, coated metals), use material identification markings (ISO 11469 for plastics), and design joints that allow material separation. Where composite or multi-material components are unavoidable, the designer should minimise their impact on the recycling process.</t>
        </is>
      </c>
      <c r="I3" s="21" t="inlineStr">
        <is>
          <t>Design for Ease of Recycling ensures that products can be efficiently processed through existing or emerging recycling infrastructure at end of life. This means selecting materials that are widely recyclable, avoiding material combinations that contaminate recycling streams, designing for easy material identification and separation, and considering the practical constraints of recycling facilities — sorting capabilities, processing temperatures, and contamination tolerances. Products that are easy to recycle retain more material value and divert less waste to landfill or incineration.</t>
        </is>
      </c>
      <c r="J3" s="21" t="inlineStr">
        <is>
          <t>Ease of recycling is critical for high-volume consumer products with short lifecycles — packaging, fast fashion, disposable electronics, and single-use products. It is also important for durable goods at actual end of life when refurbishment and remanufacturing are no longer viable. The designer should consult with recycling facility operators to understand practical constraints and design within them.</t>
        </is>
      </c>
      <c r="K3" s="21" t="inlineStr">
        <is>
          <t>Products designed for ease of recycling feature: mono-material construction where possible; clearly marked material types following international standards; easily separable material joints; avoidance of contaminating materials (adhesive labels, mixed-material laminates, non-recyclable coatings); and compatibility with automated sorting technologies (NIR spectroscopy, eddy current separation).</t>
        </is>
      </c>
      <c r="L3" s="21" t="inlineStr">
        <is>
          <t>• What recycling infrastructure exists for each material in our product?
• Are there material combinations that would contaminate recycling streams?
• Can multi-material components be redesigned as mono-material alternatives?
• Are all materials clearly marked for identification during sorting?
• How does our product perform in the actual recycling processes available in our target markets?</t>
        </is>
      </c>
      <c r="M3" s="21" t="n">
        <v>114</v>
      </c>
      <c r="N3" s="21" t="inlineStr">
        <is>
          <t>Worrell, E., &amp; Reuter, M. A. (Eds.). (2014). Handbook of Recycling: State-of-the-art for Practitioners, Analysts, and Scientists. Elsevier.
Graedel, T. E., &amp; Allenby, B. R. (2010). Industrial Ecology and Sustainable Engineering. Prentice Hall.
Bahramian, M., &amp; Yetilmezsoy, K. (2020). Design for recyclability in the textile and fashion industry: A review. Journal of Cleaner Production, 276, 123320.</t>
        </is>
      </c>
      <c r="O3" s="21" t="n"/>
      <c r="P3" s="21" t="n"/>
      <c r="Q3" s="21" t="n"/>
      <c r="R3" s="21" t="inlineStr">
        <is>
          <t>LOOP 1,LOOP N,LAST LOOP</t>
        </is>
      </c>
      <c r="S3" s="21" t="inlineStr">
        <is>
          <t>Materials,Components,Products</t>
        </is>
      </c>
      <c r="T3" s="21" t="n"/>
      <c r="U3" s="21" t="n"/>
      <c r="V3" s="21" t="n"/>
      <c r="W3" s="21" t="n"/>
      <c r="X3" s="21" t="n"/>
    </row>
    <row r="4" ht="75" customHeight="1" s="76">
      <c r="A4" s="21" t="inlineStr">
        <is>
          <t>resource</t>
        </is>
      </c>
      <c r="B4" s="21" t="n">
        <v>207</v>
      </c>
      <c r="C4" s="1" t="inlineStr">
        <is>
          <t>Df Recycle</t>
        </is>
      </c>
      <c r="D4" s="21" t="inlineStr">
        <is>
          <t>Df Efficient Use of Materials</t>
        </is>
      </c>
      <c r="E4" s="21" t="inlineStr">
        <is>
          <t>Df Minimising Material Diversity</t>
        </is>
      </c>
      <c r="F4" s="21" t="n">
        <v>1</v>
      </c>
      <c r="G4" s="21" t="n"/>
      <c r="H4" s="21" t="inlineStr">
        <is>
          <t>The designer should audit the bill of materials and systematically reduce the number of distinct material types used. This involves substituting specialty materials with standard alternatives where performance allows, consolidating components that use different materials into mono-material designs, and selecting material families that are compatible in recycling streams. Where multiple materials are unavoidable, they should be easily separable.</t>
        </is>
      </c>
      <c r="I4" s="21" t="inlineStr">
        <is>
          <t>The concept of Design for Material Diversity relates to reducing the amount of materials used in a product. A vast amount of materials used in a single product is often regarded as a bad thing since they are difficult to reuse and recycle. According to the idea of minimum material diversity, a limited number of standard materials are preferable than a large number of different materials.</t>
        </is>
      </c>
      <c r="J4" s="21" t="inlineStr">
        <is>
          <t>Minimising material diversity is particularly important for products that will be processed in mixed-waste recycling streams — consumer packaging, small electronics, household products, and toys. The designer should work backwards from the recycling process: understand what material combinations create problems for recyclers, and design to avoid them.</t>
        </is>
      </c>
      <c r="K4" s="21" t="inlineStr">
        <is>
          <t>Products with minimised material diversity feature: the smallest practical number of distinct material types; standardised material grades within each type; mono-material construction for components where possible; compatible material families that can be co-processed in recycling; and clear separation between unavoidably different materials.</t>
        </is>
      </c>
      <c r="L4" s="21" t="inlineStr">
        <is>
          <t>• How many distinct material types are in our current product, and which can be consolidated?
• Can specialty materials be replaced with standard recyclable alternatives?
• Where multiple materials are unavoidable, can they be easily separated at end of life?
• Are the remaining materials compatible within the same recycling stream?
• What is the minimum number of material types needed to meet functional requirements?</t>
        </is>
      </c>
      <c r="M4" s="21" t="n">
        <v>96</v>
      </c>
      <c r="N4" s="21" t="inlineStr">
        <is>
          <t>Ashby, M. F. (2012). Materials and the Environment: Eco-Informed Material Choice (2nd ed.). Butterworth-Heinemann.
Vezzoli, C. A., &amp; Manzini, E. (2008). Design for Environmental Sustainability. Springer.</t>
        </is>
      </c>
      <c r="O4" s="21" t="n"/>
      <c r="P4" s="21" t="n"/>
      <c r="Q4" s="21" t="n"/>
      <c r="R4" s="21" t="inlineStr">
        <is>
          <t>LOOP 1,LOOP N,LAST LOOP</t>
        </is>
      </c>
      <c r="S4" s="21" t="inlineStr">
        <is>
          <t>Materials,Components,Products</t>
        </is>
      </c>
      <c r="T4" s="21" t="n"/>
      <c r="U4" s="21" t="n"/>
      <c r="V4" s="21" t="n"/>
      <c r="W4" s="21" t="n"/>
      <c r="X4" s="21" t="n"/>
    </row>
    <row r="5" ht="75" customHeight="1" s="76">
      <c r="A5" s="21" t="inlineStr">
        <is>
          <t>resource</t>
        </is>
      </c>
      <c r="B5" s="21" t="n">
        <v>208</v>
      </c>
      <c r="C5" s="1" t="inlineStr">
        <is>
          <t>Df Recycle</t>
        </is>
      </c>
      <c r="D5" s="21" t="inlineStr">
        <is>
          <t>Df Efficient Use of Materials</t>
        </is>
      </c>
      <c r="E5" s="21" t="inlineStr">
        <is>
          <t>Df Eliminating Material Wastage</t>
        </is>
      </c>
      <c r="F5" s="21" t="n">
        <v>1</v>
      </c>
      <c r="G5" s="21" t="n"/>
      <c r="H5" s="21" t="inlineStr">
        <is>
          <t>Design for Eliminating Material Wastage focuses on reducing material losses throughout the product lifecycle — from manufacturing through to end of life. Strategies include optimising component geometries to minimise cutting waste (nesting patterns, near-net-shape manufacturing), designing for additive manufacturing where appropriate, reducing overpackaging, and specifying manufacturing processes with high material yield. The designer should also consider how manufacturing scrap can be recaptured and recycled in-process.</t>
        </is>
      </c>
      <c r="I5" s="21" t="inlineStr">
        <is>
          <t xml:space="preserve">The designer can maximize the use of materials by paying attention to the way the materials are processed, cut and assembled. For example, by placing sewing patterns carefully when cutting clothing fabrics, it is possible to minimize wasting fabric.
</t>
        </is>
      </c>
      <c r="J5" s="21" t="inlineStr">
        <is>
          <t>This strategy is critical for products manufactured from expensive or scarce materials — metals, engineered plastics, technical textiles, and electronic materials. It is also important for high-volume products where even small per-unit waste reductions create significant aggregate impact. The designer should collaborate with manufacturing engineers to identify waste hotspots and design geometry and tolerances that minimise them.</t>
        </is>
      </c>
      <c r="K5" s="21" t="inlineStr">
        <is>
          <t>Products designed to eliminate material wastage feature: geometries optimised for manufacturing yield (e.g. nesting-friendly flat patterns); near-net-shape forming processes that minimise machining waste; specification of recycled-content manufacturing scrap; minimal and recyclable packaging; and design tolerances that balance quality requirements with material efficiency.</t>
        </is>
      </c>
      <c r="L5" s="21" t="inlineStr">
        <is>
          <t>• Where in the manufacturing process is material waste highest?
• Can component geometries be redesigned to improve cutting or forming yield?
• Is additive manufacturing viable for any components to eliminate subtractive waste?
• Can manufacturing scrap be recaptured and recycled within the production process?
• What is the total material waste across the product lifecycle — manufacturing, distribution, use, and end of life?</t>
        </is>
      </c>
      <c r="M5" s="21" t="n">
        <v>115</v>
      </c>
      <c r="N5" s="21" t="inlineStr">
        <is>
          <t>Allwood, J. M., Ashby, M. F., Gutowski, T. G., &amp; Worrell, E. (2011). Material efficiency: A white paper. Resources, Conservation and Recycling, 55(4), 362–381.
Ashby, M. F. (2012). Materials and the Environment: Eco-Informed Material Choice (2nd ed.). Butterworth-Heinemann.</t>
        </is>
      </c>
      <c r="O5" s="21" t="n"/>
      <c r="P5" s="21" t="n"/>
      <c r="Q5" s="21" t="n"/>
      <c r="R5" s="21" t="inlineStr">
        <is>
          <t>LOOP 1,LOOP N,LAST LOOP</t>
        </is>
      </c>
      <c r="S5" s="21" t="inlineStr">
        <is>
          <t>Materials,Components,Products</t>
        </is>
      </c>
      <c r="T5" s="21" t="n"/>
      <c r="U5" s="21" t="n"/>
      <c r="V5" s="21" t="n"/>
      <c r="W5" s="21" t="n"/>
      <c r="X5" s="21" t="n"/>
    </row>
    <row r="6" ht="75" customHeight="1" s="76">
      <c r="A6" s="21" t="inlineStr">
        <is>
          <t>resource</t>
        </is>
      </c>
      <c r="B6" s="21" t="n">
        <v>209</v>
      </c>
      <c r="C6" s="1" t="inlineStr">
        <is>
          <t>Df Recycle</t>
        </is>
      </c>
      <c r="D6" s="21" t="inlineStr">
        <is>
          <t>Df Society</t>
        </is>
      </c>
      <c r="E6" s="21" t="inlineStr">
        <is>
          <t>Df Society</t>
        </is>
      </c>
      <c r="F6" s="21" t="n">
        <v>1</v>
      </c>
      <c r="G6" s="21" t="n"/>
      <c r="H6" s="21" t="inlineStr">
        <is>
          <t>Design for Society in a recycling context requires the designer to consider the broader social and environmental implications of material choices — not just the product's function and recyclability, but the conditions under which materials are extracted, processed, and ultimately disposed of. This includes evaluating the social impact of mining operations, the working conditions in recycling facilities, the environmental justice implications of waste export, and the accessibility of recycling infrastructure to different communities.</t>
        </is>
      </c>
      <c r="I6" s="21" t="inlineStr">
        <is>
          <t>In this strategy, designers should consider not just the product, but also the material used to make it, as well as where the material origin from and where it may be discarded. Designers frequently overlook this strategy, but material and production choices can have a direct impact on entire communities.
Designers must consider three interwoven aspects of the production process: 
- ecological security; 
- resource security; 
- and socioeconomic security.
This strategy frequently conflicts with the maximisation of human and ecological resources in a specified area.</t>
        </is>
      </c>
      <c r="J6" s="21" t="inlineStr">
        <is>
          <t>This strategy is relevant for all products but is particularly critical for products using conflict minerals, rare earth elements, or materials processed in regions with weak environmental and labour regulations. The designer should map the full social supply chain of each material and evaluate whether alternative materials or sourcing strategies could reduce social harm.</t>
        </is>
      </c>
      <c r="K6" s="21" t="inlineStr">
        <is>
          <t>Products designed with societal considerations feature: materials sourced from certified responsible supply chains; avoidance of conflict minerals and materials associated with human rights abuses; designs that facilitate recycling in the communities where the product will be disposed of; equitable distribution of recycling benefits and burdens; and transparency in material sourcing documentation.</t>
        </is>
      </c>
      <c r="L6" s="21" t="inlineStr">
        <is>
          <t>• What are the social and environmental conditions at the source of each material in our product?
• Are any materials associated with conflict, human rights abuses, or environmental injustice?
• Will the product be recycled in facilities with adequate worker protections?
• Is recycling infrastructure accessible to all communities where our product is sold?
• Can we substitute problematic materials with more ethically sourced alternatives?</t>
        </is>
      </c>
      <c r="M6" s="21" t="n">
        <v>107</v>
      </c>
      <c r="N6" s="21" t="inlineStr">
        <is>
          <t>Whiteley, Nigel. Design for Society. Revised ed. edition. London: Reaktion Books, 1994.</t>
        </is>
      </c>
      <c r="O6" s="21" t="n"/>
      <c r="P6" s="21" t="n"/>
      <c r="Q6" s="21" t="n"/>
      <c r="R6" s="21" t="inlineStr">
        <is>
          <t>LOOP 1,LOOP N,LAST LOOP</t>
        </is>
      </c>
      <c r="S6" s="21" t="inlineStr">
        <is>
          <t>Materials,Components,Products,Systems</t>
        </is>
      </c>
      <c r="T6" s="21" t="n"/>
      <c r="U6" s="21" t="n"/>
      <c r="V6" s="21" t="n"/>
      <c r="W6" s="21" t="n"/>
      <c r="X6" s="21" t="n"/>
    </row>
    <row r="7" ht="75" customHeight="1" s="76">
      <c r="A7" s="21" t="inlineStr">
        <is>
          <t>resource</t>
        </is>
      </c>
      <c r="B7" s="21" t="n">
        <v>210</v>
      </c>
      <c r="C7" s="1" t="inlineStr">
        <is>
          <t>Df Recycle</t>
        </is>
      </c>
      <c r="D7" s="21" t="inlineStr">
        <is>
          <t>Df Society</t>
        </is>
      </c>
      <c r="E7" s="21" t="inlineStr">
        <is>
          <t>Df Ecological Security</t>
        </is>
      </c>
      <c r="F7" s="21" t="n">
        <v>1</v>
      </c>
      <c r="G7" s="21" t="n"/>
      <c r="H7" s="21" t="inlineStr">
        <is>
          <t>The designer should conduct a lifecycle assessment of each material to identify ecological risks — habitat destruction from mining, water pollution from processing, soil contamination from disposal, and biodiversity loss from land use change. Where ecological risks are significant, the designer should specify alternative materials, require certification (FSC for timber, MSC for marine materials), or redesign to eliminate the problematic material entirely.</t>
        </is>
      </c>
      <c r="I7" s="21" t="inlineStr">
        <is>
          <t>Designing for ecological security means taking into account any potential damage to ecological systems as a result of extraction, as well as the risks posed by discarded materials. The earth's ability to create critical renewable resources must be preserved and, when possible, restored or improved by design.</t>
        </is>
      </c>
      <c r="J7" s="21" t="inlineStr">
        <is>
          <t>Ecological security is critical for products using materials extracted from ecologically sensitive areas — tropical hardwoods, deep-sea minerals, materials requiring large-scale open-pit mining, or substances that are toxic in aquatic environments. The designer should evaluate the ecological footprint of each material and prioritise alternatives with lower ecological impact.</t>
        </is>
      </c>
      <c r="K7" s="21" t="inlineStr">
        <is>
          <t>This strategy should be used whenever a natural resource is extracted and used as a raw material for a product. For example, the lost corn crops traditionally grown by indigenous tribes in Mexico could be restored through the production of biological materials using the leaf waste of these native plants. Or by using materials obtained from algae that infest European coastal hydro-ecosystems as the principal material in a product.</t>
        </is>
      </c>
      <c r="L7" s="21" t="inlineStr">
        <is>
          <t>• Which materials in our product pose the greatest ecological risk during extraction, processing, or disposal?
• Are there certified or verified sustainable sourcing options for ecologically sensitive materials?
• Can ecologically damaging materials be substituted with alternatives that have lower environmental impact?
• What happens to our product's materials at end of life — could they contaminate ecosystems?
• How do we verify and communicate the ecological credentials of our material choices?</t>
        </is>
      </c>
      <c r="M7" s="21" t="n">
        <v>114</v>
      </c>
      <c r="N7" s="21" t="inlineStr">
        <is>
          <t>Graedel, T. E., &amp; Allenby, B. R. (2010). Industrial Ecology and Sustainable Engineering. Prentice Hall.
Whiteley, N. (1994). Design for Society (Revised ed.). Reaktion Books.</t>
        </is>
      </c>
      <c r="O7" s="21" t="n"/>
      <c r="P7" s="21" t="n"/>
      <c r="Q7" s="21" t="n"/>
      <c r="R7" s="21" t="inlineStr">
        <is>
          <t>LOOP 1,LOOP N,LAST LOOP</t>
        </is>
      </c>
      <c r="S7" s="21" t="inlineStr">
        <is>
          <t>Materials,Products,Systems</t>
        </is>
      </c>
      <c r="T7" s="21" t="n"/>
      <c r="U7" s="21" t="n"/>
      <c r="V7" s="21" t="n"/>
      <c r="W7" s="21" t="n"/>
      <c r="X7" s="21" t="n"/>
    </row>
    <row r="8" ht="75" customHeight="1" s="76">
      <c r="A8" s="21" t="inlineStr">
        <is>
          <t>resource</t>
        </is>
      </c>
      <c r="B8" s="21" t="n">
        <v>211</v>
      </c>
      <c r="C8" s="1" t="inlineStr">
        <is>
          <t>Df Recycle</t>
        </is>
      </c>
      <c r="D8" s="21" t="inlineStr">
        <is>
          <t>Df Society</t>
        </is>
      </c>
      <c r="E8" s="21" t="inlineStr">
        <is>
          <t>Df Resource Security</t>
        </is>
      </c>
      <c r="F8" s="21" t="n"/>
      <c r="G8" s="21" t="n"/>
      <c r="H8" s="21" t="inlineStr">
        <is>
          <t>The designer should identify which materials in the product are classified as critical (referencing EU Critical Raw Materials list or USGS assessments), evaluate the supply chain concentration risk for each, and implement design strategies that either reduce dependence on critical materials (substitution, dematerialisation) or ensure their recovery at end of life (design for disassembly, material marking, easy separation). Closed-loop recycling of critical materials should be a design objective.</t>
        </is>
      </c>
      <c r="I8" s="21" t="inlineStr">
        <is>
          <t>Design for Resource Security addresses the risk that critical raw materials may become scarce, expensive, or geopolitically inaccessible. Many products depend on materials with concentrated supply chains — rare earth elements, cobalt, lithium, platinum group metals — where supply disruption can halt production. In a recycling context, designing for resource security means ensuring these critical materials can be recovered and recirculated, reducing dependence on primary extraction and building supply chain resilience.</t>
        </is>
      </c>
      <c r="J8" s="21" t="inlineStr">
        <is>
          <t>Resource security is particularly relevant for electronics (rare earth magnets, cobalt batteries, indium displays), renewable energy systems (lithium, cobalt, neodymium), medical devices (platinum, palladium), and automotive products (catalytic converter PGMs). The designer should map which components contain critical materials and ensure these are designed for efficient recovery.</t>
        </is>
      </c>
      <c r="K8" s="21" t="inlineStr">
        <is>
          <t>Products designed for resource security feature: minimised use of critical raw materials through dematerialisation or substitution; components containing critical materials designed for easy identification and extraction; material passports documenting critical material content and location; closed-loop recovery pathways for critical materials; and supply chain diversification through recycled content specifications.</t>
        </is>
      </c>
      <c r="L8" s="21" t="inlineStr">
        <is>
          <t>• Which materials in our product are classified as critical or at risk of supply disruption?
• Can critical materials be substituted with more abundant alternatives without compromising performance?
• Are components containing critical materials designed for easy extraction and recovery?
• What percentage of our critical material needs could be met through recycled sources?
• Do we have a material passport or documentation system that tracks critical material content?</t>
        </is>
      </c>
      <c r="M8" s="21" t="n">
        <v>109</v>
      </c>
      <c r="N8" s="21" t="inlineStr">
        <is>
          <t>European Commission. (2023). Study on the Critical Raw Materials for the EU. EU Publications.
Graedel, T. E., Harper, E. M., Nassar, N. T., Nuss, P., &amp; Reck, B. K. (2015). Criticality of metals and metalloids. Proceedings of the National Academy of Sciences, 112(14), 4257–4262.</t>
        </is>
      </c>
      <c r="O8" s="21" t="n"/>
      <c r="P8" s="21" t="n"/>
      <c r="Q8" s="21" t="n"/>
      <c r="R8" s="21" t="inlineStr">
        <is>
          <t>LOOP 1,LOOP N,LAST LOOP</t>
        </is>
      </c>
      <c r="S8" s="21" t="inlineStr">
        <is>
          <t>Materials,Components,Products</t>
        </is>
      </c>
      <c r="T8" s="21" t="n"/>
      <c r="U8" s="21" t="n"/>
      <c r="V8" s="21" t="n"/>
      <c r="W8" s="21" t="n"/>
      <c r="X8" s="21" t="n"/>
    </row>
    <row r="9" ht="75" customHeight="1" s="76">
      <c r="A9" s="21" t="inlineStr">
        <is>
          <t>resource</t>
        </is>
      </c>
      <c r="B9" s="21" t="n">
        <v>212</v>
      </c>
      <c r="C9" s="1" t="inlineStr">
        <is>
          <t>Df Recycle</t>
        </is>
      </c>
      <c r="D9" s="21" t="inlineStr">
        <is>
          <t>Df Society</t>
        </is>
      </c>
      <c r="E9" s="21" t="inlineStr">
        <is>
          <t>Df Socio-economic Security</t>
        </is>
      </c>
      <c r="F9" s="21" t="n"/>
      <c r="G9" s="21" t="n"/>
      <c r="H9" s="21" t="inlineStr">
        <is>
          <t>The designer should evaluate the socio-economic impact of material choices across the value chain — from extraction communities to recycling workers. Strategies include specifying materials that can be processed in local or regional recycling facilities, avoiding materials whose recycling creates health hazards for workers, designing products that support fair labour in the circular economy, and ensuring that the economic value of recycled materials flows to the communities involved in collection and processing.</t>
        </is>
      </c>
      <c r="I9" s="21" t="inlineStr">
        <is>
          <t>Design for Socio-economic Security considers the economic and social dependencies created by material choices. Products that rely on materials sourced from politically unstable regions, processed in monopolistic supply chains, or manufactured under exploitative labour conditions create socio-economic vulnerabilities for both producers and consumers. In a recycling context, this strategy promotes material choices that support local recycling economies, create fair employment in the circular value chain, and distribute economic benefits equitably.</t>
        </is>
      </c>
      <c r="J9" s="21" t="inlineStr">
        <is>
          <t>This strategy is relevant for products sold in global markets where end-of-life processing may occur in regions with different labour standards. It is particularly important for electronic waste (where informal recycling in developing countries creates serious health hazards), textiles (where second-hand clothing exports can undermine local manufacturing), and packaging (where informal waste pickers are a critical part of the recycling system).</t>
        </is>
      </c>
      <c r="K9" s="21" t="inlineStr">
        <is>
          <t>Products designed for socio-economic security feature: materials processable in safe working conditions; designs that do not require hazardous chemical processing for recycling; support for local and regional recycling infrastructure; fair value distribution across the recycling chain; and transparency in end-of-life processing pathways.</t>
        </is>
      </c>
      <c r="L9" s="21" t="inlineStr">
        <is>
          <t>• Where will our product likely be recycled, and what are the labour conditions in those facilities?
• Could our material choices create health hazards for recycling workers?
• Does our product design support local recycling economies or require export to distant facilities?
• How is the economic value of recovered materials distributed across the recycling chain?
• Can we certify or verify that our product's end-of-life processing meets fair labour standards?</t>
        </is>
      </c>
      <c r="M9" s="21" t="n">
        <v>107</v>
      </c>
      <c r="N9" s="21" t="inlineStr">
        <is>
          <t>Whiteley, N. (1994). Design for Society (Revised ed.). Reaktion Books.
Lepawsky, J. (2018). Reassembling Rubbish: Worlding Electronic Waste. MIT Press.</t>
        </is>
      </c>
      <c r="O9" s="21" t="n"/>
      <c r="P9" s="21" t="n"/>
      <c r="Q9" s="21" t="n"/>
      <c r="R9" s="21" t="inlineStr">
        <is>
          <t>LOOP 1,LOOP N,LAST LOOP</t>
        </is>
      </c>
      <c r="S9" s="21" t="inlineStr">
        <is>
          <t>Materials,Products,Systems</t>
        </is>
      </c>
      <c r="T9" s="21" t="n"/>
      <c r="U9" s="21" t="n"/>
      <c r="V9" s="21" t="n"/>
      <c r="W9" s="21" t="n"/>
      <c r="X9" s="21" t="n"/>
    </row>
    <row r="10">
      <c r="A10" s="1" t="inlineStr">
        <is>
          <t>reverse</t>
        </is>
      </c>
      <c r="B10" s="1" t="n">
        <v>89</v>
      </c>
      <c r="C10" s="1" t="inlineStr">
        <is>
          <t>Df Recycle</t>
        </is>
      </c>
      <c r="D10" s="1" t="inlineStr">
        <is>
          <t>Df Closed-loop Reverse Supply Chain</t>
        </is>
      </c>
      <c r="E10" s="1" t="inlineStr">
        <is>
          <t>Df Buy-back</t>
        </is>
      </c>
      <c r="F10" s="21" t="n">
        <v>1</v>
      </c>
      <c r="G10" s="1" t="n"/>
      <c r="H10" s="1" t="inlineStr">
        <is>
          <t>In a buy-back programme for recycling, the manufacturer incentivises customers to return products at end of life rather than disposing of them in mixed waste. Unlike refurbishment buy-back, the focus here is on material recovery — the returned products are disassembled and their materials routed to appropriate recycling streams. The designer should ensure products use materials that retain recycling value, are clearly marked for identification, and can be efficiently separated.</t>
        </is>
      </c>
      <c r="I10" s="1" t="inlineStr">
        <is>
          <t>In this strategy, manufacturers or other suppliers "buy-back" used products and components from their customers. The ability to predict return flows depends on the manufacturer's ability to set specific purchase prices. Hence, the manufacturer should define in advance what will be the desired stream between the entire product, components or materials of the product. Manufacturers need to determine the required amounts, price, time and sites of return for every form of return flow.
- For service and production purposes, manufacturers can obtain an inexpensive supply of components and materials;
- Buying-back used products may be an opportunity to reengage a new relationship with the customer for sale or lease new products;
- Deposition and incineration costs may be minimized;
- Understand how products are used and design better products.</t>
        </is>
      </c>
      <c r="J10" s="1" t="inlineStr">
        <is>
          <t>Buy-back for recycling is effective for products containing valuable materials that would be lost in mixed waste — electronics with precious metals, products with critical raw materials, or items requiring special handling (batteries, refrigerants). Deposit-refund schemes are a common mechanism. The designer should consider how the product will be processed at end of life and design to maximise material recovery value.</t>
        </is>
      </c>
      <c r="K10" s="1" t="inlineStr">
        <is>
          <t>An effective recycling buy-back system requires: pricing that incentivises return over disposal; collection infrastructure accessible to consumers; efficient sorting and material identification processes; partnerships with certified recycling facilities; and product designs that maximise the value of recovered materials.</t>
        </is>
      </c>
      <c r="L10" s="1" t="inlineStr">
        <is>
          <t>• Which purchase channel can facilitate the take-back?
• How the company can withdrawal products from castomers?
• How the company can coordinate with retailers and other distributors to collect products?
• For how many loops the product can be buy-back?</t>
        </is>
      </c>
      <c r="M10" s="1" t="n">
        <v>110</v>
      </c>
      <c r="N10" s="28" t="inlineStr">
        <is>
          <t>Walls, M. (2011). Deposit-Refund Systems in Practice and Theory. Resources for the Future Discussion Paper, 11-47.
Atasu, A., &amp; Subramanian, R. (2012). Extended Producer Responsibility for E-Waste: Individual or Collective Producer Responsibility? Production and Operations Management, 21(6), 1042–1059.</t>
        </is>
      </c>
      <c r="O10" s="27" t="n"/>
      <c r="P10" s="28" t="n"/>
      <c r="Q10" s="28" t="n"/>
      <c r="R10" s="21" t="inlineStr">
        <is>
          <t>LOOP 1,LOOP N,LAST LOOP</t>
        </is>
      </c>
      <c r="S10" s="21" t="inlineStr">
        <is>
          <t>Materials,Components,Products</t>
        </is>
      </c>
      <c r="T10" s="28" t="n"/>
      <c r="U10" s="28" t="n"/>
      <c r="V10" s="28" t="n"/>
      <c r="W10" s="28" t="n"/>
      <c r="X10" s="28" t="n"/>
    </row>
    <row r="11" ht="75" customHeight="1" s="76">
      <c r="A11" s="21" t="inlineStr">
        <is>
          <t>recovery</t>
        </is>
      </c>
      <c r="B11" s="21" t="n">
        <v>121</v>
      </c>
      <c r="C11" s="1" t="inlineStr">
        <is>
          <t>Df Recycle</t>
        </is>
      </c>
      <c r="D11" s="21" t="inlineStr">
        <is>
          <t>Df Non-Destructive Disassembly</t>
        </is>
      </c>
      <c r="E11" s="21" t="inlineStr">
        <is>
          <t>Df Non-Destructive Disassembly</t>
        </is>
      </c>
      <c r="F11" s="21" t="n">
        <v>1</v>
      </c>
      <c r="G11" s="21" t="n"/>
      <c r="H11" s="21" t="inlineStr">
        <is>
          <t>Df Non-Destructive Disassembly can have the following benefits:
- Facilitate maintenance and repair, thereby reducing costs;
- Facilitate part/component re-use, thereby recovering materials and reducing costs;
- Assist material recycling, thereby avoiding disposal and handling of waste;
- Assist product testing and failure-mode/end-of-life analysis;
- Facilitate product take-back and extended producer responsibility, thereby reducing liability and assisting in regulatory compliance.</t>
        </is>
      </c>
      <c r="I11" s="21" t="inlineStr">
        <is>
          <t>Design for  Non-Destructive Disassembly or Demanufacturing strategy gives a better chance to product to be disassembled into different elements for major remanufacturing quality. This strategy can be used for different reasons: as a maintenance activity (to swap one part for another one to be reused, clean, repaired, refurbished or resold component and materials), recycling operation or dispose of hazardous materials. In this strategy, the sequence of disassembling tasks and operations must be set up logically in order to facilitate and faster the disassembling process. Depending on product typology, the disassembling ca be performed using an automatic or human disassembling process. To facilitate the human disassembling process it is necessary to use basic hand tools to reduce labour costs.
Disassembling generates significant economic benefits for communities while reducing the need for new landfills, preventing pollution, saving energy, and reducing greenhouse gas emissions. The disassembling process employs low-, medium-, and highly-skilled workers in a variety of jobs—from handling and refining to delivering high-quality goods. Further, these jobs will often require high mobility as they are embodied in a global market.</t>
        </is>
      </c>
      <c r="J11" s="21" t="inlineStr">
        <is>
          <t>In general, designers should attempt to: 
- Use detachable joints such as snap, screw or bayonet instead of welded, glued or soldered connections;
- Use standardized joints so that the product can be dismantled with a few universal tools, e.g., one type and size of screws;
- Position joints so that the product does not need to be turned or moved for dismantling;
- Indicate on the product how it should be opened non-destructively, e.g., where and how to apply leverage with a screwdriver to open snap connections;
- Place parts that are likely to wear out at the same time in close proximity so they can be easily replaced simultaneously. 
- Indicate on the product which parts must be cleaned or maintained in a specific way, e.g., colour-coded lubricating points;
- Create an intuitively disassembling process;</t>
        </is>
      </c>
      <c r="K11" s="21" t="inlineStr">
        <is>
          <t>Non-destructive disassembly for recycling preserves material integrity and purity by separating components without contamination. Key characteristics: reversible fasteners enabling clean material separation; defined disassembly sequences prioritising high-value materials; compatibility with both manual and automated sorting; and ability to produce clean, uncontaminated material fractions.</t>
        </is>
      </c>
      <c r="L11" s="21" t="inlineStr">
        <is>
          <t>What are the parts that will wear quicker and become obsolete? Is the non-destructive disassembly feasible in terms of price and unit cost?
How does the Design for Non-Destructive Disassembly strategy changes the design of the product?
How does the Design for Non-Destructive Disassembly strategy changes the way products are developed?
What are the materials and design implications of the Design for Non-Destructive Disassembly strategy?
How cost minimisation or profit maximisation can be achieved in Design for Non-Destructive Disassembly?
What is the value of the disassembled part? There is a market for it? Can we reuse, refurbished, remanufactured or recycle it?
How disassembling sequencing should be organized?
When it suits to have an automatic or human disassembling process?</t>
        </is>
      </c>
      <c r="M11" s="21" t="n">
        <v>109</v>
      </c>
      <c r="N11" s="21" t="inlineStr">
        <is>
          <t>Rohatyński, R. (2016). Design for Disassembly. Introduction to a New Design Issue.
Torres, Fernando, and Santiago Puente. "Intelligent Disassembly in the Demanufacturing Process." The International Journal of Advanced Manufacturing Technology 30.5 (2006): 479-80
Information System Resources. Demanufacturing whitepaper (2011).</t>
        </is>
      </c>
      <c r="O11" s="21" t="n"/>
      <c r="P11" s="21" t="n"/>
      <c r="Q11" s="21" t="inlineStr">
        <is>
          <t>Df Modularization; Df Standardization; Df Recycling</t>
        </is>
      </c>
      <c r="R11" s="21" t="inlineStr">
        <is>
          <t>LOOP 1,LOOP N,LAST LOOP</t>
        </is>
      </c>
      <c r="S11" s="21" t="inlineStr">
        <is>
          <t>Materials,Components,Products</t>
        </is>
      </c>
      <c r="T11" s="21" t="n"/>
      <c r="U11" s="21" t="n"/>
      <c r="V11" s="21" t="n"/>
      <c r="W11" s="21" t="n"/>
      <c r="X11" s="74" t="n"/>
    </row>
    <row r="12" ht="75" customHeight="1" s="76">
      <c r="A12" s="21" t="inlineStr">
        <is>
          <t>recovery</t>
        </is>
      </c>
      <c r="B12" s="21" t="n">
        <v>122</v>
      </c>
      <c r="C12" s="1" t="inlineStr">
        <is>
          <t>Df Recycle</t>
        </is>
      </c>
      <c r="D12" s="21" t="inlineStr">
        <is>
          <t>Df Non-Destructive Disassembly</t>
        </is>
      </c>
      <c r="E12" s="21" t="inlineStr">
        <is>
          <t>Df Automated Disassembly</t>
        </is>
      </c>
      <c r="F12" s="21" t="n">
        <v>1</v>
      </c>
      <c r="G12" s="21" t="n"/>
      <c r="H12" s="21" t="inlineStr">
        <is>
          <t>Designers should attempt to: 
• Managing and processing a large quantity of information for a high success rate of disassembly. 
• Configuring a disassembly system as a modular system; 
• Analyse the disassembly requirements;
• Design and assess the performance of the functions needed;
• Create a disassembly domain;
• Determine the cognitive robotic functions;
• List the actions, fluents, precondition, effects required for each module;
• Program the behaviours using procedure due to complex actions; and
• Connect the modules together via actions and fluents.</t>
        </is>
      </c>
      <c r="I12" s="21" t="inlineStr">
        <is>
          <t>Design for Automated Disassembly is a key part of the Design for Disassembly strategy. Although most products can be disassembled by human labour, this may lead to high operational costs and time consumption. Developing automatic and systemic disassembly may overcome this obstacle and improve the economic feasibility of disassembly.  This strategy involves the use of robots equipped with artificial intelligence (AI) that are able to scan the physical condition of the product and disassembling it, even if the product is highly worn. Robots are also flexible and able to recognize the product typology and adapt their operations accordingly with it. This process requires a high level of mechanical and control system to be achieved,</t>
        </is>
      </c>
      <c r="J12" s="21" t="inlineStr">
        <is>
          <t>Automated disassembly for recycling is essential for high-volume product streams where manual processing is uneconomical — particularly e-waste, small appliances, and automotive end-of-life vehicles. Products should have consistent geometries and standardised fasteners for reliable robotic processing. The investment is justified when material recovery values are high and volumes are sufficient.</t>
        </is>
      </c>
      <c r="K12" s="21" t="inlineStr">
        <is>
          <t>Design for Automated Disassembly can have the following benefits:
• Reduction of the work needed in disassembly;
• Quick and easy disassembly operations;
• The system can improve the "disassembling" abilities and learning new instructions given by the human operator;
• The system can reduce the misclassification of main components, which is more frequent for humans when the components are damaged.</t>
        </is>
      </c>
      <c r="L12" s="21" t="inlineStr">
        <is>
          <t>Which parts are more likely to wear out faster?
Is our product suitable for an automatic disassembly?</t>
        </is>
      </c>
      <c r="M12" s="21" t="n">
        <v>109</v>
      </c>
      <c r="N12" s="21" t="inlineStr">
        <is>
          <t>Vongbunyong, S., &amp; Chen, W. H. (2016). Disassembly Automation: Automated Systems with Cognitive Abilities (Softcover reprint of the original 1st ed. 2015 edition). Springer.</t>
        </is>
      </c>
      <c r="O12" s="21" t="n"/>
      <c r="P12" s="21" t="n"/>
      <c r="Q12" s="21" t="n"/>
      <c r="R12" s="21" t="inlineStr">
        <is>
          <t>LOOP 1,LOOP N,LAST LOOP</t>
        </is>
      </c>
      <c r="S12" s="21" t="inlineStr">
        <is>
          <t>Materials,Components,Products</t>
        </is>
      </c>
      <c r="T12" s="21" t="n"/>
      <c r="U12" s="21" t="n"/>
      <c r="V12" s="21" t="n"/>
      <c r="W12" s="21" t="n"/>
      <c r="X12" s="74" t="n"/>
    </row>
    <row r="13" ht="75" customHeight="1" s="76">
      <c r="A13" s="21" t="inlineStr">
        <is>
          <t>recovery</t>
        </is>
      </c>
      <c r="B13" s="21" t="n">
        <v>122</v>
      </c>
      <c r="C13" s="1" t="inlineStr">
        <is>
          <t>Df Recycle</t>
        </is>
      </c>
      <c r="D13" s="21" t="inlineStr">
        <is>
          <t>Df Non-Destructive Disassembly</t>
        </is>
      </c>
      <c r="E13" s="21" t="inlineStr">
        <is>
          <t>Df Enable Easy Manual Disassembly</t>
        </is>
      </c>
      <c r="F13" s="21" t="n"/>
      <c r="G13" s="21" t="n"/>
      <c r="H13" s="21" t="inlineStr">
        <is>
          <t>The designer should minimise the number and variety of fasteners, ensure all fasteners are accessible without specialised tools, use standard fastener types (Phillips, hex) that workers commonly encounter, design clear disassembly sequences that follow an intuitive logic, and avoid hidden or recessed fasteners that slow the process. Visual guides or embossed instructions on the product can further assist manual disassembly workers.</t>
        </is>
      </c>
      <c r="I13" s="21" t="inlineStr">
        <is>
          <t>Design for Easy Manual Disassembly ensures products can be taken apart efficiently by human workers using basic tools. In many recycling contexts, manual disassembly remains more flexible and cost-effective than automation, particularly for mixed product streams or when product designs vary significantly. The strategy focuses on reducing the time, skill, and tools required for manual separation of materials.</t>
        </is>
      </c>
      <c r="J13" s="21" t="inlineStr">
        <is>
          <t>Easy manual disassembly is relevant for all products that will be processed in recycling facilities, but especially for mixed product streams where automation is not viable — furniture, mixed electronics, building materials, and products with irregular geometries. The designer should consider the working conditions in recycling facilities and design to minimise ergonomic strain.</t>
        </is>
      </c>
      <c r="K13" s="21" t="inlineStr">
        <is>
          <t>Products designed for easy manual disassembly feature: minimal fastener count and variety; all fasteners accessible with common hand tools; clear visual indicators of disassembly points and sequence; ergonomic grips and access points; no hidden or recessed fasteners; and manageable component weights and sizes for manual handling.</t>
        </is>
      </c>
      <c r="L13" s="21" t="inlineStr">
        <is>
          <t>• Can the product be fully disassembled with a standard set of hand tools?
• How many distinct fastener types does the product require, and can this number be reduced?
• Is the disassembly sequence intuitive or does it require specialised knowledge?
• Are all disassembly points visible and accessible without removing unrelated components?
• What is the estimated manual disassembly time, and how does it compare to the material recovery value?</t>
        </is>
      </c>
      <c r="M13" s="21" t="n">
        <v>107</v>
      </c>
      <c r="N13" s="21" t="inlineStr">
        <is>
          <t>Soh, S. L., Ong, S. K., &amp; Nee, A. Y. C. (2014). Design for disassembly for remanufacturing: Methodology and technology. Procedia CIRP, 15, 407–412.
Duflou, J. R., Seliger, G., Kara, S., Umeda, Y., Ometto, A., &amp; Willems, B. (2008). Efficiency and feasibility of product disassembly. CIRP Annals, 57(2), 583–600.</t>
        </is>
      </c>
      <c r="O13" s="21" t="n"/>
      <c r="P13" s="21" t="n"/>
      <c r="Q13" s="21" t="n"/>
      <c r="R13" s="21" t="inlineStr">
        <is>
          <t>LOOP 1,LOOP N,LAST LOOP</t>
        </is>
      </c>
      <c r="S13" s="21" t="inlineStr">
        <is>
          <t>Components,Products</t>
        </is>
      </c>
      <c r="T13" s="21" t="n"/>
      <c r="U13" s="21" t="n"/>
      <c r="V13" s="21" t="n"/>
      <c r="W13" s="21" t="n"/>
      <c r="X13" s="74" t="n"/>
    </row>
    <row r="14" ht="75" customHeight="1" s="76">
      <c r="A14" s="21" t="inlineStr">
        <is>
          <t>recovery</t>
        </is>
      </c>
      <c r="B14" s="21" t="n">
        <v>123</v>
      </c>
      <c r="C14" s="1" t="inlineStr">
        <is>
          <t>Df Recycle</t>
        </is>
      </c>
      <c r="D14" s="21" t="inlineStr">
        <is>
          <t>Df Semi-Destructive Disassembly</t>
        </is>
      </c>
      <c r="E14" s="21" t="inlineStr">
        <is>
          <t>Df Semi-Destructive Disassembly</t>
        </is>
      </c>
      <c r="F14" s="21" t="n">
        <v>1</v>
      </c>
      <c r="G14" s="21" t="n"/>
      <c r="H14" s="21" t="inlineStr">
        <is>
          <t>In semi-destructive disassembly for recycling, connective elements are intentionally destroyed (shredding, cutting, crushing) to liberate materials for separation and recycling. Unlike refurbishment, the goal is not to preserve components but to produce clean material fractions. The designer should ensure that connective materials are compatible with the target recycling stream and do not contaminate recovered materials.</t>
        </is>
      </c>
      <c r="I14" s="21" t="inlineStr">
        <is>
          <t>"Design fo Semi-Destructive Disassembly strategy aims to destroy only connective components, e.g. via breaking, folding or cutting, leaving main components with little or no damage. This increases the efficiency of the operation and has been found in many cases to be economically feasible. Many research works relating to automatic disassembly use semi-destructive techniques to overcome the uncertainties in the product condition and geometry. Examples of such techniques include the drilling out of screw heads during the disassembly of electric motors, creation of new surfaces allowing torque transmission for unscrewing and cutting off of screw heads using a cut-off wheel." (Vongbunyong, S., &amp; Chen, W. H. 2016).</t>
        </is>
      </c>
      <c r="J14" s="21" t="inlineStr">
        <is>
          <t>Semi-destructive disassembly is the dominant approach in large-scale recycling operations — automotive shredding, e-waste processing, and construction demolition waste. The designer should understand how the product will be processed (shredding, granulation, etc.) and design to produce clean material fractions after destruction. Multi-material joints should be avoided where they would create contaminated recycling output.</t>
        </is>
      </c>
      <c r="K14" s="21" t="inlineStr">
        <is>
          <t>Products designed for semi-destructive recycling feature: material combinations that separate cleanly after shredding or crushing; connective elements that do not contaminate target material streams; component layouts that produce identifiable material fractions; avoidance of laminated or inseparable multi-material composites; and compatibility with automated sorting technologies.</t>
        </is>
      </c>
      <c r="L14" s="21" t="inlineStr">
        <is>
          <t>• How will the product be processed at end of life — shredding, granulation, or manual breaking?
• Will the connective materials contaminate target recycling streams after destruction?
• Can the product design produce clean material fractions after semi-destructive processing?
• Are multi-material composites avoidable, and if not, how will they be handled?
• What sorting technologies will be used post-destruction, and is the product design compatible?</t>
        </is>
      </c>
      <c r="M14" s="21" t="n">
        <v>114</v>
      </c>
      <c r="N14" s="21" t="inlineStr">
        <is>
          <t>Vongbunyong, S., &amp; Chen, W. H. (2016). Disassembly Automation: Automated Systems with Cognitive Abilities (Softcover reprint of the original 1st ed. 2015 edition). Springer.</t>
        </is>
      </c>
      <c r="O14" s="21" t="n"/>
      <c r="P14" s="21" t="n"/>
      <c r="Q14" s="21" t="n"/>
      <c r="R14" s="21" t="inlineStr">
        <is>
          <t>LOOP 1,LOOP N,LAST LOOP</t>
        </is>
      </c>
      <c r="S14" s="21" t="inlineStr">
        <is>
          <t>Materials,Components,Products</t>
        </is>
      </c>
      <c r="T14" s="21" t="n"/>
      <c r="U14" s="21" t="n"/>
      <c r="V14" s="21" t="n"/>
      <c r="W14" s="21" t="n"/>
      <c r="X14" s="74" t="n"/>
    </row>
    <row r="15" ht="75" customHeight="1" s="76">
      <c r="A15" s="21" t="inlineStr">
        <is>
          <t>recovery</t>
        </is>
      </c>
      <c r="B15" s="21" t="n">
        <v>124</v>
      </c>
      <c r="C15" s="1" t="inlineStr">
        <is>
          <t>Df Recycle</t>
        </is>
      </c>
      <c r="D15" s="21" t="inlineStr">
        <is>
          <t>Df Semi-Destructive Disassembly</t>
        </is>
      </c>
      <c r="E15" s="21" t="inlineStr">
        <is>
          <t>Df Embedded Disassembly Process</t>
        </is>
      </c>
      <c r="F15" s="21" t="n">
        <v>1</v>
      </c>
      <c r="G15" s="21" t="n"/>
      <c r="H15" s="21" t="inlineStr">
        <is>
          <t>In a recycling context, embedded disassembly using smart materials enables rapid product separation before shredding, improving material fraction purity. The smart material fasteners are triggered in a controlled environment, causing the product to separate into pre-defined material-homogeneous modules that can then be directed to appropriate recycling streams without cross-contamination.</t>
        </is>
      </c>
      <c r="I15" s="21" t="inlineStr">
        <is>
          <t>Design for  Embedded Disassembly Process strategy integrates the disassembly process inside a product during manufacturing and activate it at disassembly. This design strategy creates products that are self-disassemblable and the process can be activated through a clear movement (for customer disassembly) or a mechanical movement (for industrial disassembly).
Designers should attempt to:
• identifying the essential part of currently used disassembly process and minimizing the mechanism for disassembly and then embedding them into the products;
• for multiple product lifecycles, it should be possible to reinsert the mechanism multiple times;
• If the product contains hazardous materials, the mechanism should be hidden to customers;  
Designers should attempt to:
• identifying the essential part of currently used disassembly process and minimizing the mechanism for disassembly and then embedding them into the products;
• for multiple product lifecycles, it should be possible to reinsert the mechanism multiple times;
• Calculation of the "removability" part;
Df Embedded Disassembly Process can have the following benefits:
• Disassembly can be obtained without special expensive equipment;</t>
        </is>
      </c>
      <c r="J15" s="21" t="inlineStr">
        <is>
          <t>Embedded disassembly for recycling is valuable for products where manual pre-sorting is too expensive but shredding without pre-separation produces contaminated material fractions. Consumer electronics and small appliances with mixed materials are prime candidates. The pre-separation enabled by embedded disassembly can significantly improve recycling yield and material quality.</t>
        </is>
      </c>
      <c r="K15" s="21" t="inlineStr">
        <is>
          <t>A broad range of products can be implemented with the Design for  Embedded Disassembly strategy, as no particular devices, materials or actuators are needed for implementing them. However, the strategy may not be sufficient for items that require very little flexibility in the arrangement of components.</t>
        </is>
      </c>
      <c r="L15" s="21" t="inlineStr">
        <is>
          <t>• Which material separations would most improve recycling yield if achieved before shredding?
• Can the embedded disassembly trigger be integrated into existing recycling facility workflows?
• What is the cost of smart material incorporation versus the improvement in recycled material value?
• Can the product be designed so that embedded disassembly creates material-homogeneous modules?
• Are the smart materials themselves recyclable or recoverable?</t>
        </is>
      </c>
      <c r="M15" s="21" t="n">
        <v>72</v>
      </c>
      <c r="N15" s="21" t="inlineStr">
        <is>
          <t>Masui K, Mizuhara K, Ishii K, Rose C (1999) Development of products embedded disassembly process based on end-of-life strategies. In: Proceedings of the 1st international symposium on environmentally conscious design and inverse manufacturing, Tokyo, pp 570–575
Takeuchi, S., &amp; Saitou, K. (2008). Design for Product Embedded Disassembly. In T. Yu, L. Davis, C. Baydar, &amp; R. Roy (Eds.), Evolutionary Computation in Practice (pp. 9–39). Springer. https://doi.org/10.1007/978-3-540-75771-9_2</t>
        </is>
      </c>
      <c r="O15" s="21" t="n"/>
      <c r="P15" s="21" t="n"/>
      <c r="Q15" s="21" t="inlineStr">
        <is>
          <t>Design for Disassembly; Design for Destructive Disassembly; Design for Semi-Destructive Disassembly; Design for Non-Destructive Disassembly; Design for Ease of Disassembly; Design for Reassembly;</t>
        </is>
      </c>
      <c r="R15" s="21" t="inlineStr">
        <is>
          <t>LOOP 1,LOOP N,LAST LOOP</t>
        </is>
      </c>
      <c r="S15" s="21" t="inlineStr">
        <is>
          <t>Materials,Components,Products</t>
        </is>
      </c>
      <c r="T15" s="21" t="n"/>
      <c r="U15" s="21" t="n"/>
      <c r="V15" s="21" t="n"/>
      <c r="W15" s="21" t="n"/>
      <c r="X15" s="74" t="n"/>
    </row>
    <row r="16" ht="75" customHeight="1" s="76">
      <c r="A16" s="21" t="inlineStr">
        <is>
          <t>recovery</t>
        </is>
      </c>
      <c r="B16" s="21" t="n">
        <v>125</v>
      </c>
      <c r="C16" s="1" t="inlineStr">
        <is>
          <t>Df Recycle</t>
        </is>
      </c>
      <c r="D16" s="21" t="inlineStr">
        <is>
          <t>Df Semi-Destructive Disassembly</t>
        </is>
      </c>
      <c r="E16" s="21" t="inlineStr">
        <is>
          <t>Df Untying</t>
        </is>
      </c>
      <c r="F16" s="21" t="n">
        <v>1</v>
      </c>
      <c r="G16" s="21" t="n"/>
      <c r="H16" s="21" t="inlineStr">
        <is>
          <t>In a recycling context, untying enables separation of bundled components for material-specific recycling. The focus is on liberating materials rather than preserving components — but clean separation of bound elements prevents material contamination in recycling streams.</t>
        </is>
      </c>
      <c r="I16" s="21" t="inlineStr">
        <is>
          <t>Design for Untying strategy considered products which are made of modular or non-modular components tied together. The disassembly of the components occurs by breaking or untying the connections between components.</t>
        </is>
      </c>
      <c r="J16" s="21" t="inlineStr">
        <is>
          <t>Untying for recycling is relevant for cable harnesses, bound wiring, and tied component bundles where the binding material differs from the bound components and would contaminate recycling if processed together.</t>
        </is>
      </c>
      <c r="K16" s="21" t="inlineStr">
        <is>
          <t>Products feature: binding materials that are compatible with or easily separable from the bound components' recycling stream; accessible cutting points; and binding designs that do not leave residue on components after removal.</t>
        </is>
      </c>
      <c r="L16" s="21" t="inlineStr">
        <is>
          <t>• Will binding materials contaminate the recycling stream of bound components?
• Can bindings be removed efficiently in a recycling facility workflow?
• Are there alternative binding methods that would be more recycling-compatible?
• What is the material composition of current bindings, and are they themselves recyclable?</t>
        </is>
      </c>
      <c r="M16" s="21" t="n">
        <v>73</v>
      </c>
      <c r="N16" s="21" t="inlineStr">
        <is>
          <t>Vongbunyong, S., &amp; Chen, W. H. (2016). Disassembly Automation: Automated Systems with Cognitive Abilities. Springer International Publishing.</t>
        </is>
      </c>
      <c r="O16" s="21" t="n"/>
      <c r="P16" s="21" t="n"/>
      <c r="Q16" s="21" t="n"/>
      <c r="R16" s="21" t="inlineStr">
        <is>
          <t>LOOP 1,LOOP N,LAST LOOP</t>
        </is>
      </c>
      <c r="S16" s="21" t="inlineStr">
        <is>
          <t>Materials,Components,Products</t>
        </is>
      </c>
      <c r="T16" s="21" t="n"/>
      <c r="U16" s="21" t="n"/>
      <c r="V16" s="21" t="n"/>
      <c r="W16" s="21" t="n"/>
      <c r="X16" s="74" t="n"/>
    </row>
    <row r="17" ht="75" customHeight="1" s="76">
      <c r="A17" s="21" t="inlineStr">
        <is>
          <t>recovery</t>
        </is>
      </c>
      <c r="B17" s="21" t="n">
        <v>126</v>
      </c>
      <c r="C17" s="1" t="inlineStr">
        <is>
          <t>Df Recycle</t>
        </is>
      </c>
      <c r="D17" s="21" t="inlineStr">
        <is>
          <t>Df Semi-Destructive Disassembly</t>
        </is>
      </c>
      <c r="E17" s="21" t="inlineStr">
        <is>
          <t>Df Active Disassembly</t>
        </is>
      </c>
      <c r="F17" s="21" t="n">
        <v>1</v>
      </c>
      <c r="G17" s="21" t="n"/>
      <c r="H17" s="21" t="inlineStr">
        <is>
          <t>Active disassembly in recycling uses smart materials triggered by heat or current to simultaneously release fastening points, enabling rapid pre-separation of products into material-homogeneous fractions before they enter shredding or granulation processes. This pre-separation dramatically improves the purity and value of recovered material streams.</t>
        </is>
      </c>
      <c r="I17" s="21" t="inlineStr">
        <is>
          <t>Design for Active Disassembly strategy uses smart materials or structure to activate product disassembly. Usually, a process of this is activated when the product is heated, microwaved or through variations in ambient pressure. This strategy is used to decrease the time needed for disassembling and implies the use of technology and smart materials. The amount of links that can be unmounted at the same time for one disassembly operation is unlimited. 
Designers should attempt to:
• Use compatible materials;
• Group harmful materials into subassemblies;
• Avoid ageing and corrosive material combination;
• Protect subassemblies against soiling and corrosion;
• Avoid metal inserts in plastic parts;
• Use standard subassemblies and parts;
• Minimize the number of fastener types; 
• Limitation to the number of different materials; 
• Standardize parts for multiple uses;
• Limit material variability;</t>
        </is>
      </c>
      <c r="J17" s="21" t="inlineStr">
        <is>
          <t>Active disassembly for recycling is most valuable for products with multiple valuable material types that would be contaminated by mixed shredding — electronics containing precious metals, products with hazardous components requiring early isolation, or items where specific materials are too valuable to lose in mixed recycling streams.</t>
        </is>
      </c>
      <c r="K17" s="21" t="inlineStr">
        <is>
          <t>Active disassembly for recycling features: trigger temperatures and conditions compatible with recycling facility operations; product separation into material-homogeneous fractions; compatibility with automated sorting and processing; and smart materials that do not contaminate recovered material streams.</t>
        </is>
      </c>
      <c r="L17" s="21" t="inlineStr">
        <is>
          <t>• Which material separations would most benefit from active disassembly pre-processing?
• Can the trigger conditions be achieved in standard recycling facility equipment?
• Will the smart material fasteners contaminate any recovered material streams?
• What is the economic value of improved material fraction purity from active disassembly?
• Can the active disassembly process be scaled to handle the product volumes expected?</t>
        </is>
      </c>
      <c r="M17" s="21" t="n">
        <v>76</v>
      </c>
      <c r="N17" s="21" t="inlineStr">
        <is>
          <t>Willems, B., Dewulf, W., &amp; Duflou, J. (2005). Design for active disassembly (DfAD): An outline for future research. Proceedings of the 2005 IEEE International Symposium on Electronics and the Environment, 2005., 129–134. https://doi.org/10.1109/ISEE.2005.1437007</t>
        </is>
      </c>
      <c r="O17" s="21" t="n"/>
      <c r="P17" s="21" t="n"/>
      <c r="Q17" s="21" t="n"/>
      <c r="R17" s="21" t="inlineStr">
        <is>
          <t>LOOP 1,LOOP N,LAST LOOP</t>
        </is>
      </c>
      <c r="S17" s="21" t="inlineStr">
        <is>
          <t>Materials,Components,Products</t>
        </is>
      </c>
      <c r="T17" s="21" t="n"/>
      <c r="U17" s="21" t="n"/>
      <c r="V17" s="21" t="n"/>
      <c r="W17" s="21" t="n"/>
      <c r="X17" s="74" t="n"/>
    </row>
    <row r="18" ht="75" customHeight="1" s="76">
      <c r="A18" s="21" t="inlineStr">
        <is>
          <t>recovery</t>
        </is>
      </c>
      <c r="B18" s="21" t="n">
        <v>127</v>
      </c>
      <c r="C18" s="1" t="inlineStr">
        <is>
          <t>Df Recycle</t>
        </is>
      </c>
      <c r="D18" s="1" t="inlineStr">
        <is>
          <t>Df Recycle</t>
        </is>
      </c>
      <c r="E18" s="1" t="inlineStr">
        <is>
          <t>Df Recycle</t>
        </is>
      </c>
      <c r="F18" s="21" t="n">
        <v>1</v>
      </c>
      <c r="G18" s="21" t="n"/>
      <c r="H18" s="21" t="inlineStr">
        <is>
          <t>Design for Recycling is a holistic strategy that considers the entire product lifecycle from a recycling perspective. The designer must understand how each material in the product will be collected, sorted, processed, and reintroduced as secondary raw material. This involves selecting recyclable materials, minimising material complexity, designing for material identification and separation, avoiding contaminants, and working with recycling operators to ensure the product is compatible with existing infrastructure.</t>
        </is>
      </c>
      <c r="I18" s="21" t="inlineStr">
        <is>
          <t xml:space="preserve">Design for Recycling is a design strategy that incorporates recycling and recyclability criteria
into the design phase of products with the aim of obtaining recycled and/or recyclable products at the end of their useful life and returning them into the supply chain. When designing a product that should be recycled, it is useful to concentrate on the product rather than on the singular materials of the product. This because the design should consider the materials of a product together and how they will be managed in the system. 
This is the first strategy draft, you can help Circular Design by expanding it using the Contribute button on the Home page.
</t>
        </is>
      </c>
      <c r="J18" s="21" t="inlineStr">
        <is>
          <t>Design for Recycling applies to all products at the end of their useful life — after all higher-value circular strategies (maintenance, reuse, refurbishment, remanufacturing) have been exhausted. It is the last value-recovery strategy before material loss. The designer should treat recycling as the safety net of the circular economy and design products that yield maximum material value when they finally reach end of life.</t>
        </is>
      </c>
      <c r="K18" s="21" t="inlineStr">
        <is>
          <t>Products designed for recycling feature: mono-material components where possible; clearly marked material types following ISO standards; easily separable material joints; avoidance of contaminants (labels, coatings, adhesives) that reduce material quality; compatibility with automated sorting and processing technologies; and documentation of material composition for recycling facility guidance.</t>
        </is>
      </c>
      <c r="L18" s="21" t="inlineStr">
        <is>
          <t>To what extent is economically profitable recycling possible? When it is not, how should recycling be financed?
What is the end-of-life recycling rate?
What is the efficiency in any given recycling process?
What is the nonfunctional EOL recycling rate (downcycling)?
Does the product design allow for easy accessibility and disassembly of precious materials?</t>
        </is>
      </c>
      <c r="M18" s="21" t="n">
        <v>114</v>
      </c>
      <c r="N18" s="21" t="inlineStr">
        <is>
          <t>Ernst Worrell and Markus Reuter 2014. Handbook of Recycling: State-of-the-art for Practitioners, Analysts, and Scientists. Amsterdam ; Boston: Elsevier.</t>
        </is>
      </c>
      <c r="O18" s="21" t="n"/>
      <c r="P18" s="21" t="n"/>
      <c r="Q18" s="21" t="n"/>
      <c r="R18" s="21" t="inlineStr">
        <is>
          <t>LOOP 1,LOOP N,LAST LOOP</t>
        </is>
      </c>
      <c r="S18" s="21" t="inlineStr">
        <is>
          <t>Materials,Components,Products</t>
        </is>
      </c>
      <c r="T18" s="21" t="n"/>
      <c r="U18" s="21" t="n"/>
      <c r="V18" s="21" t="n"/>
      <c r="W18" s="21" t="n"/>
      <c r="X18" s="21" t="n"/>
    </row>
    <row r="19" ht="75" customHeight="1" s="76">
      <c r="A19" s="21" t="inlineStr">
        <is>
          <t>business</t>
        </is>
      </c>
      <c r="B19" s="21" t="n">
        <v>310</v>
      </c>
      <c r="C19" s="21" t="inlineStr">
        <is>
          <t>Df Recycle</t>
        </is>
      </c>
      <c r="D19" s="21" t="inlineStr">
        <is>
          <t>Df Recycling Business Model</t>
        </is>
      </c>
      <c r="E19" s="21" t="inlineStr">
        <is>
          <t>Df Extended Producer Responsibility</t>
        </is>
      </c>
      <c r="F19" s="21" t="n">
        <v>3</v>
      </c>
      <c r="G19" s="21" t="inlineStr">
        <is>
          <t>medium</t>
        </is>
      </c>
      <c r="H19" s="21" t="inlineStr">
        <is>
          <t>Integrate Extended Producer Responsibility (EPR) requirements directly into business model and product design strategies. Design products from conception for end-of-life recyclability requirements. Establish financial mechanisms covering product collection and recycling costs. Develop partnerships with certified recyclers ensuring product material recovery. Build operational systems tracking EPR compliance and material recovery verification.</t>
        </is>
      </c>
      <c r="I19" s="21" t="inlineStr">
        <is>
          <t>Products designed without considering EPR obligations often become unrecyclable due to material complexity and contamination risks. Designing for EPR compliance from inception enables efficient material recovery. Business models internalizing end-of-life costs create incentives for recyclable design rather than externalizing environmental costs.
EPR compliance creates regulatory certainty and prevents future liability from unrecycled products in landfills. EPR-enabled business models enable manufacturers to participate in secondary material markets, creating revenue from recovered materials. Transparent EPR models build brand credibility with environmentally conscious consumers.</t>
        </is>
      </c>
      <c r="J19" s="21" t="inlineStr">
        <is>
          <t>Essential for all manufacturers in jurisdictions with EPR regulations. Increasingly relevant globally as EPR policies expand.</t>
        </is>
      </c>
      <c r="K19" s="21" t="inlineStr">
        <is>
          <t>Products designed for efficient material separation and recovery. Business systems track collection, recycling, and material recovery compliance. Partnership agreements with certified recyclers ensure EPR obligation fulfillment.</t>
        </is>
      </c>
      <c r="L19" s="21" t="inlineStr">
        <is>
          <t>• How will EPR costs be accurately calculated and incorporated into product pricing?
• What recycler partnerships ensure reliable, verified material recovery?
• How will product recyclability be maintained as designs evolve and materials change?
• What tracking systems verify EPR compliance and material recovery?
• How will EPR financial mechanisms be designed to prevent cost externalization?</t>
        </is>
      </c>
      <c r="M19" s="21" t="n">
        <v>181</v>
      </c>
      <c r="N19" s="21" t="inlineStr">
        <is>
          <t>Allwood, J. M., Ashby, M. F., Gutowski, T. G., &amp; Worrell, E. (2013). Material efficiency: providing material for society. Annual Review of Environment and Resources, 38, 575-600.
Geissdoerfer, M., Savaget, P., Bocken, N. M., &amp; Hultink, E. J. (2017). The Circular Economy–A new sustainability paradigm. Journal of Cleaner Production, 143, 757-768.
Lacy, P., Rutqvist, J., &amp; BuddPress, B. (2015). Waste to wealth: the circular economy advantage. Accenture.</t>
        </is>
      </c>
      <c r="O19" s="21" t="n"/>
      <c r="P19" s="21" t="n"/>
      <c r="Q19" s="21" t="n"/>
      <c r="R19" s="21" t="inlineStr">
        <is>
          <t>LOOP N,LAST LOOP</t>
        </is>
      </c>
      <c r="S19" s="21" t="inlineStr">
        <is>
          <t>Products,Processes,Systems</t>
        </is>
      </c>
      <c r="T19" s="21" t="n"/>
      <c r="U19" s="21" t="n"/>
      <c r="V19" s="21" t="n"/>
      <c r="W19" s="21" t="n"/>
      <c r="X19" s="21" t="n"/>
    </row>
    <row r="20" ht="75" customHeight="1" s="76">
      <c r="A20" s="21" t="inlineStr">
        <is>
          <t>business</t>
        </is>
      </c>
      <c r="B20" s="21" t="n">
        <v>311</v>
      </c>
      <c r="C20" s="21" t="inlineStr">
        <is>
          <t>Df Recycle</t>
        </is>
      </c>
      <c r="D20" s="21" t="inlineStr">
        <is>
          <t>Df Recycling Business Model</t>
        </is>
      </c>
      <c r="E20" s="21" t="inlineStr">
        <is>
          <t>Df Secondary Material Markets</t>
        </is>
      </c>
      <c r="F20" s="21" t="n">
        <v>3</v>
      </c>
      <c r="G20" s="21" t="inlineStr">
        <is>
          <t>medium</t>
        </is>
      </c>
      <c r="H20" s="21" t="inlineStr">
        <is>
          <t>Develop business models capturing revenue from recovered recycled materials rather than treating recycling as pure cost. Design products using materials with established secondary market value (high-grade polymers, pure metal alloys, rare materials). Establish partnerships with material brokers and recyclers enabling material resale. Create supply agreements with internal manufacturing using recovered materials, closing secondary loops.</t>
        </is>
      </c>
      <c r="I20" s="21" t="inlineStr">
        <is>
          <t>Traditional recycling models treat end-of-life products as waste, creating pure costs that manufacturers externalize through EPR programs. Secondary material markets create conditions where recovered materials become revenue-generating assets. Capturing secondary material value internalizes end-of-life economics, incentivizing design for material purity and recovery efficiency.
Secondary material markets enable manufacturers to reduce virgin material consumption while potentially improving material cost economics. Recovered materials with established market value attract recycler investment in specialized equipment and processes. Secondary material revenue streams create business incentives for product design optimizing material recovery.</t>
        </is>
      </c>
      <c r="J20" s="21" t="inlineStr">
        <is>
          <t>Applicable to product categories with established secondary markets for recovered materials (metals, high-grade plastics, rare materials).</t>
        </is>
      </c>
      <c r="K20" s="21" t="inlineStr">
        <is>
          <t>Products designed using high-value materials with established secondary markets. Business systems include material recovery value calculation and market channels. Supply agreements establish internal secondary material utilization.</t>
        </is>
      </c>
      <c r="L20" s="21" t="inlineStr">
        <is>
          <t>• What materials offer sufficient secondary market value justifying specialized recovery processes?
• How will secondary material quality be ensured to meet manufacturing standards?
• What market mechanisms enable reliable pricing and demand for secondary materials?
• How will internal supply agreements be structured to ensure secondary material utilization?
• What risk mitigation is necessary for volatile secondary material markets?</t>
        </is>
      </c>
      <c r="M20" s="21" t="n">
        <v>182</v>
      </c>
      <c r="N20" s="21" t="inlineStr">
        <is>
          <t>McDonough, W., &amp; Braungart, M. (2002). Cradle to cradle: Remaking the way we make things. North Point Press.
Stahel, W. R. (2016). The circular economy. Nature, 531(7595), 435-438.
Geissdoerfer, M., Savaget, P., Bocken, N. M., &amp; Hultink, E. J. (2017). The Circular Economy–A new sustainability paradigm. Journal of Cleaner Production, 143, 757-768.</t>
        </is>
      </c>
      <c r="O20" s="21" t="n"/>
      <c r="P20" s="21" t="n"/>
      <c r="Q20" s="21" t="n"/>
      <c r="R20" s="21" t="inlineStr">
        <is>
          <t>LOOP N,LAST LOOP</t>
        </is>
      </c>
      <c r="S20" s="21" t="inlineStr">
        <is>
          <t>Products,Processes,Systems</t>
        </is>
      </c>
      <c r="T20" s="21" t="n"/>
      <c r="U20" s="21" t="n"/>
      <c r="V20" s="21" t="n"/>
      <c r="W20" s="21" t="n"/>
      <c r="X20" s="21" t="n"/>
    </row>
    <row r="21" ht="75" customHeight="1" s="76">
      <c r="A21" s="21" t="inlineStr">
        <is>
          <t>business</t>
        </is>
      </c>
      <c r="B21" s="21" t="n">
        <v>312</v>
      </c>
      <c r="C21" s="21" t="inlineStr">
        <is>
          <t>Df Recycle</t>
        </is>
      </c>
      <c r="D21" s="21" t="inlineStr">
        <is>
          <t>Df Recycling Business Model</t>
        </is>
      </c>
      <c r="E21" s="21" t="inlineStr">
        <is>
          <t>Df Recycled Content Commitment</t>
        </is>
      </c>
      <c r="F21" s="21" t="n">
        <v>3</v>
      </c>
      <c r="G21" s="21" t="inlineStr">
        <is>
          <t>medium</t>
        </is>
      </c>
      <c r="H21" s="21" t="inlineStr">
        <is>
          <t>Establish minimum recycled content targets within products, specifying percentage of materials sourced from recycled streams. Create internal supply commitments purchasing recovered materials from recycling partnerships. Develop procurement specifications ensuring recovered material quality meets manufacturing standards. Communicate recycled content clearly in product labelling and marketing materials.</t>
        </is>
      </c>
      <c r="I21" s="21" t="inlineStr">
        <is>
          <t>Secondary material markets require stable demand to sustain investment in recovery infrastructure. Manufacturer commitments to recycled content create predictable demand supporting recycler business models. Recycled content policies close material loops by creating internal consumption of recovered materials.
Recycled content commitments reduce virgin material consumption, lowering environmental impacts and potentially improving cost economics as virgin material prices increase. Transparent recycled content targets hold manufacturers accountable for closing material loops. Consumer demand for recycled content-based products creates market differentiation and brand value.</t>
        </is>
      </c>
      <c r="J21" s="21" t="inlineStr">
        <is>
          <t>Increasingly important for manufacturers facing recycled content regulations and responding to consumer sustainability preferences.</t>
        </is>
      </c>
      <c r="K21" s="21" t="inlineStr">
        <is>
          <t>Products feature minimum recycled content percentages specified in manufacturing standards. Supply agreements with recyclers ensure recycled material availability. Labelling and marketing communicate recycled content percentages.</t>
        </is>
      </c>
      <c r="L21" s="21" t="inlineStr">
        <is>
          <t>• What recycled content targets balance sustainability goals with cost and supply constraints?
• How will recycled material quality be ensured to meet performance specifications?
• What supply agreements ensure reliable, stable recycled material availability?
• How will recycled content percentages be verified and communicated credibly?
• How will recycled content commitments evolve as material markets and technologies change?</t>
        </is>
      </c>
      <c r="M21" s="21" t="n">
        <v>181</v>
      </c>
      <c r="N21" s="21" t="inlineStr">
        <is>
          <t>Allwood, J. M., Ashby, M. F., Gutowski, T. G., &amp; Worrell, E. (2013). Material efficiency: providing material for society. Annual Review of Environment and Resources, 38, 575-600.
Bocken, N. M., de Pauw, I., Bakker, C., &amp; van der Grinten, B. (2016). Product design and business model strategies for a circular economy. Journal of Industrial and Production Engineering, 33(5), 308-320.
Manzini, E., &amp; Vezzoli, C. (2003). A strategic design approach to develop sustainable product service systems. Journal of Cleaner Production, 11(8), 851-857.</t>
        </is>
      </c>
      <c r="O21" s="21" t="n"/>
      <c r="P21" s="21" t="n"/>
      <c r="Q21" s="21" t="n"/>
      <c r="R21" s="21" t="inlineStr">
        <is>
          <t>LOOP N,LAST LOOP</t>
        </is>
      </c>
      <c r="S21" s="21" t="inlineStr">
        <is>
          <t>Materials,Products,Systems</t>
        </is>
      </c>
      <c r="T21" s="21" t="n"/>
      <c r="U21" s="21" t="n"/>
      <c r="V21" s="21" t="n"/>
      <c r="W21" s="21" t="n"/>
      <c r="X21" s="21" t="n"/>
    </row>
    <row r="22" ht="75" customHeight="1" s="76">
      <c r="A22" s="21" t="inlineStr">
        <is>
          <t>business</t>
        </is>
      </c>
      <c r="B22" s="21" t="n">
        <v>313</v>
      </c>
      <c r="C22" s="21" t="inlineStr">
        <is>
          <t>Df Recycle</t>
        </is>
      </c>
      <c r="D22" s="21" t="inlineStr">
        <is>
          <t>Df Recycling Business Model</t>
        </is>
      </c>
      <c r="E22" s="21" t="inlineStr">
        <is>
          <t>Df Recycler Partnerships</t>
        </is>
      </c>
      <c r="F22" s="21" t="n">
        <v>3</v>
      </c>
      <c r="G22" s="21" t="inlineStr">
        <is>
          <t>medium</t>
        </is>
      </c>
      <c r="H22" s="21" t="inlineStr">
        <is>
          <t>Establish formal partnerships with certified recyclers ensuring reliable, verified product collection, processing, and material recovery. Create long-term contracts specifying material quality standards, recovery targets, and verification procedures. Provide product design information and recycling guidance enabling efficient recycler operations. Support recycler investment in specialized processing equipment through volume commitments.</t>
        </is>
      </c>
      <c r="I22" s="21" t="inlineStr">
        <is>
          <t>Reliable material recovery requires established relationships with specialized recyclers possessing appropriate equipment and expertise. Certified partnerships ensure material is actually recovered rather than exported to substandard facilities. Long-term partnership stability enables recycler investment in equipment and processes optimizing recovery from specific product streams.
Recycler partnerships create feedback mechanisms where processing challenges inform product design improvements. Transparent relationships build accountability preventing material laundering or export to environmentally damaging facilities. Partnerships enable manufacturers to verify EPR compliance and material recovery claims.</t>
        </is>
      </c>
      <c r="J22" s="21" t="inlineStr">
        <is>
          <t>Essential for manufacturers establishing reliable, verifiable recycling systems.</t>
        </is>
      </c>
      <c r="K22" s="21" t="inlineStr">
        <is>
          <t>Products managed through certified recycler partnerships with documented agreements. Supply agreements ensure material volume and quality consistency. Communication systems enable design feedback from recycling operations.</t>
        </is>
      </c>
      <c r="L22" s="21" t="inlineStr">
        <is>
          <t>• What certification and audit procedures ensure recycler integrity and environmental responsibility?
• How will partnerships be structured to ensure long-term stability and investment?
• What volume commitments are necessary to justify recycler equipment investments?
• How will recycler feedback be integrated into product design and improvement cycles?
• What mechanisms prevent material export to substandard or environmentally damaging facilities?</t>
        </is>
      </c>
      <c r="M22" s="21" t="n">
        <v>186</v>
      </c>
      <c r="N22" s="21" t="inlineStr">
        <is>
          <t>Rogers, D. S., &amp; Tibben-Lembke, R. S. (2001). An examination of reverse logistics practices. Journal of Business Logistics, 22(2), 129-148.
Lacy, P., Rutqvist, J., &amp; BuddPress, B. (2015). Waste to wealth: the circular economy advantage. Accenture.
Geissdoerfer, M., Savaget, P., Bocken, N. M., &amp; Hultink, E. J. (2017). The Circular Economy–A new sustainability paradigm. Journal of Cleaner Production, 143, 757-768.</t>
        </is>
      </c>
      <c r="O22" s="21" t="n"/>
      <c r="P22" s="21" t="n"/>
      <c r="Q22" s="21" t="n"/>
      <c r="R22" s="21" t="inlineStr">
        <is>
          <t>LOOP N,LAST LOOP</t>
        </is>
      </c>
      <c r="S22" s="21" t="inlineStr">
        <is>
          <t>Processes,Systems</t>
        </is>
      </c>
      <c r="T22" s="21" t="n"/>
      <c r="U22" s="21" t="n"/>
      <c r="V22" s="21" t="n"/>
      <c r="W22" s="21" t="n"/>
      <c r="X22" s="21" t="n"/>
    </row>
    <row r="23" ht="75" customHeight="1" s="76">
      <c r="A23" s="21" t="inlineStr">
        <is>
          <t>logistics</t>
        </is>
      </c>
      <c r="B23" s="21" t="n">
        <v>314</v>
      </c>
      <c r="C23" s="21" t="inlineStr">
        <is>
          <t>Df Recycle</t>
        </is>
      </c>
      <c r="D23" s="21" t="inlineStr">
        <is>
          <t>Df Recyclable Product Logistics</t>
        </is>
      </c>
      <c r="E23" s="21" t="inlineStr">
        <is>
          <t>Df Material Identification Marking</t>
        </is>
      </c>
      <c r="F23" s="21" t="n">
        <v>3</v>
      </c>
      <c r="G23" s="21" t="inlineStr">
        <is>
          <t>medium</t>
        </is>
      </c>
      <c r="H23" s="21" t="inlineStr">
        <is>
          <t>Design clear, permanent material identification marking systems enabling rapid material type recognition during collection and sorting. Use standardized material codes (resin identification codes, metal alloy designations) complying with recycling industry standards. Place markings where they remain visible through collection and initial processing. Include material information in product documentation and QR codes linking to detailed material data.</t>
        </is>
      </c>
      <c r="I23" s="21" t="inlineStr">
        <is>
          <t>Automated material sorting systems require clear material identification to separate materials for specialized recycling processes. Manual sorters need visible material information enabling rapid classification decisions. Hidden or illegible material markings create contamination risks where incompatible materials are processed together.
Standardized material codes enable international material trade, expanding secondary material market opportunities. Clear marking reduces labour intensity in manual sorting, improving recycling economics. Material transparency supports recycler efficiency and quality.</t>
        </is>
      </c>
      <c r="J23" s="21" t="inlineStr">
        <is>
          <t>Critical for all recyclable products, particularly important for automated sorting systems.</t>
        </is>
      </c>
      <c r="K23" s="21" t="inlineStr">
        <is>
          <t>Products feature permanent, visible material identification codes. Markings remain legible through collection and initial processing. Material information documented in product files and QR codes.</t>
        </is>
      </c>
      <c r="L23" s="21" t="inlineStr">
        <is>
          <t>• How can material markings be durable and visible throughout product lifecycle and processing?
• What standardization of material codes enables international material trade?
• How will products with multiple materials be marked to prevent contamination?
• What marking placement optimizes visibility for automated sorting systems?
• How will material identification adapt as new materials and alloys are introduced?</t>
        </is>
      </c>
      <c r="M23" s="21" t="n">
        <v>185</v>
      </c>
      <c r="N23" s="21" t="inlineStr">
        <is>
          <t>Allwood, J. M., Ashby, M. F., Gutowski, T. G., &amp; Worrell, E. (2013). Material efficiency: providing material for society. Annual Review of Environment and Resources, 38, 575-600.
Bakker, C., Wang, F., Huisman, J., &amp; den Hollander, M. (2014). Products that go round: exploring product life extension through design. Journal of Cleaner Production, 69, 10-16.
Geissdoerfer, M., Savaget, P., Bocken, N. M., &amp; Hultink, E. J. (2017). The Circular Economy–A new sustainability paradigm. Journal of Cleaner Production, 143, 757-768.</t>
        </is>
      </c>
      <c r="O23" s="21" t="n"/>
      <c r="P23" s="21" t="n"/>
      <c r="Q23" s="21" t="n"/>
      <c r="R23" s="21" t="inlineStr">
        <is>
          <t>LOOP N,LAST LOOP</t>
        </is>
      </c>
      <c r="S23" s="21" t="inlineStr">
        <is>
          <t>Products,Processes</t>
        </is>
      </c>
      <c r="T23" s="21" t="n"/>
      <c r="U23" s="21" t="n"/>
      <c r="V23" s="21" t="n"/>
      <c r="W23" s="21" t="n"/>
      <c r="X23" s="21" t="n"/>
    </row>
    <row r="24" ht="75" customHeight="1" s="76">
      <c r="A24" s="21" t="inlineStr">
        <is>
          <t>logistics</t>
        </is>
      </c>
      <c r="B24" s="21" t="n">
        <v>315</v>
      </c>
      <c r="C24" s="21" t="inlineStr">
        <is>
          <t>Df Recycle</t>
        </is>
      </c>
      <c r="D24" s="21" t="inlineStr">
        <is>
          <t>Df Recyclable Product Logistics</t>
        </is>
      </c>
      <c r="E24" s="21" t="inlineStr">
        <is>
          <t>Df Collection-Compatible Design</t>
        </is>
      </c>
      <c r="F24" s="21" t="n">
        <v>3</v>
      </c>
      <c r="G24" s="21" t="inlineStr">
        <is>
          <t>medium</t>
        </is>
      </c>
      <c r="H24" s="21" t="inlineStr">
        <is>
          <t>Design products compatible with existing recycling collection infrastructure, avoiding materials requiring specialized collection or handling. Specify dimensions and weights within collection system capacity (municipal collection bin size limits, weight constraints). Use materials accepted by existing curbside or drop-off programs. Coordinate product design with local recycling systems ensuring compatibility.</t>
        </is>
      </c>
      <c r="I24" s="21" t="inlineStr">
        <is>
          <t>Products incompatible with existing collection infrastructure become landfill waste despite recyclability. Design compatibility ensures products reach recycling facilities rather than disposal streams. Alignment with collection systems maximizes recycling participation rates.
Collection infrastructure represents substantial public investment; designing within existing systems maximizes utilization efficiency. Products requiring specialized collection face uncertainty about infrastructure development. Collection compatibility reduces friction from consumer participation.</t>
        </is>
      </c>
      <c r="J24" s="21" t="inlineStr">
        <is>
          <t>Essential for consumer products where municipal collection represents primary recycling channel.</t>
        </is>
      </c>
      <c r="K24" s="21" t="inlineStr">
        <is>
          <t>Products designed within standard collection container dimensions and weight limits. Materials compatible with existing curbside and drop-off programs. Product design coordinates with local recycling infrastructure capabilities.</t>
        </is>
      </c>
      <c r="L24" s="21" t="inlineStr">
        <is>
          <t>• How will collection system capacity constraints influence product size and weight specifications?
• What materials are reliably accepted by existing collection infrastructure?
• How will collection compatibility be verified across different geographic regions?
• How will product design adapt as collection infrastructure evolves?
• What risks exist if specialized collection infrastructure fails to develop?</t>
        </is>
      </c>
      <c r="M24" s="21" t="n">
        <v>183</v>
      </c>
      <c r="N24" s="21" t="inlineStr">
        <is>
          <t>Rogers, D. S., &amp; Tibben-Lembke, R. S. (2001). An examination of reverse logistics practices. Journal of Business Logistics, 22(2), 129-148.
Sundin, E., &amp; Bras, B. (2005). Making functional products sustainable through service modularity design. Journal of Cleaner Production, 13(10-11), 993-1006.
Bakker, C., Wang, F., Huisman, J., &amp; den Hollander, M. (2014). Products that go round: exploring product life extension through design. Journal of Cleaner Production, 69, 10-16.</t>
        </is>
      </c>
      <c r="O24" s="21" t="n"/>
      <c r="P24" s="21" t="n"/>
      <c r="Q24" s="21" t="n"/>
      <c r="R24" s="21" t="inlineStr">
        <is>
          <t>LOOP N,LAST LOOP</t>
        </is>
      </c>
      <c r="S24" s="21" t="inlineStr">
        <is>
          <t>Products,Processes</t>
        </is>
      </c>
      <c r="T24" s="21" t="n"/>
      <c r="U24" s="21" t="n"/>
      <c r="V24" s="21" t="n"/>
      <c r="W24" s="21" t="n"/>
      <c r="X24" s="21" t="n"/>
    </row>
    <row r="25" ht="75" customHeight="1" s="76">
      <c r="A25" s="21" t="inlineStr">
        <is>
          <t>logistics</t>
        </is>
      </c>
      <c r="B25" s="21" t="n">
        <v>316</v>
      </c>
      <c r="C25" s="21" t="inlineStr">
        <is>
          <t>Df Recycle</t>
        </is>
      </c>
      <c r="D25" s="21" t="inlineStr">
        <is>
          <t>Df Recyclable Product Logistics</t>
        </is>
      </c>
      <c r="E25" s="21" t="inlineStr">
        <is>
          <t>Df Contaminant Prevention Design</t>
        </is>
      </c>
      <c r="F25" s="21" t="n">
        <v>3</v>
      </c>
      <c r="G25" s="21" t="inlineStr">
        <is>
          <t>medium</t>
        </is>
      </c>
      <c r="H25" s="21" t="inlineStr">
        <is>
          <t>Design products preventing cross-contamination during collection and initial sorting processes. Avoid combining materials that interfere with each other's recycling (non-compatible metals, mixed polymers). Ensure adhesives, coatings, and contaminants are chemically compatible with recycling processes. Design disassembly paths enabling material separation before contamination occurs. Eliminate hazardous or problematic components that compromise entire material streams.</t>
        </is>
      </c>
      <c r="I25" s="21" t="inlineStr">
        <is>
          <t>Contamination creates major economic barriers to material recycling where recovery equipment becomes damaged or material quality becomes unrecyclable. Single incompatible components contaminate entire product streams, often making entire batches unrecyclable. Preventing contamination at design stage resolves economics of recycling viability.
Contaminant prevention reduces sorting labour intensity and equipment damage. Clean material streams enable economical recycling and higher recovered material value. Contamination-free design demonstrates commitment to recycling integrity.</t>
        </is>
      </c>
      <c r="J25" s="21" t="inlineStr">
        <is>
          <t>Critical for all recyclable products, particularly important for materials with sensitive recycling processes.</t>
        </is>
      </c>
      <c r="K25" s="21" t="inlineStr">
        <is>
          <t>Products designed to avoid material combinations creating recycling contamination. Adhesives and coatings compatible with material recycling processes. Design enables material separation before recycling.</t>
        </is>
      </c>
      <c r="L25" s="21" t="inlineStr">
        <is>
          <t>• What material combinations create recycling contamination and should be avoided?
• How will adhesives and coatings be selected for compatibility with recycling processes?
• What design features enable material separation preventing contamination?
• How will hazardous components be safely removed before material recycling?
• How will supply chain transparency ensure component compatibility with recycling processes?</t>
        </is>
      </c>
      <c r="M25" s="21" t="n">
        <v>182</v>
      </c>
      <c r="N25" s="21" t="inlineStr">
        <is>
          <t>Allwood, J. M., Ashby, M. F., Gutowski, T. G., &amp; Worrell, E. (2013). Material efficiency: providing material for society. Annual Review of Environment and Resources, 38, 575-600.
Bakker, C., Wang, F., Huisman, J., &amp; den Hollander, M. (2014). Products that go round: exploring product life extension through design. Journal of Cleaner Production, 69, 10-16.
Geissdoerfer, M., Savaget, P., Bocken, N. M., &amp; Hultink, E. J. (2017). The Circular Economy–A new sustainability paradigm. Journal of Cleaner Production, 143, 757-768.</t>
        </is>
      </c>
      <c r="O25" s="21" t="n"/>
      <c r="P25" s="21" t="n"/>
      <c r="Q25" s="21" t="n"/>
      <c r="R25" s="21" t="inlineStr">
        <is>
          <t>LOOP N,LAST LOOP</t>
        </is>
      </c>
      <c r="S25" s="21" t="inlineStr">
        <is>
          <t>Products,Processes</t>
        </is>
      </c>
      <c r="T25" s="21" t="n"/>
      <c r="U25" s="21" t="n"/>
      <c r="V25" s="21" t="n"/>
      <c r="W25" s="21" t="n"/>
      <c r="X25" s="21" t="n"/>
    </row>
    <row r="26" ht="75" customHeight="1" s="76">
      <c r="A26" s="21" t="inlineStr">
        <is>
          <t>sale</t>
        </is>
      </c>
      <c r="B26" s="21" t="n">
        <v>317</v>
      </c>
      <c r="C26" s="21" t="inlineStr">
        <is>
          <t>Df Recycle</t>
        </is>
      </c>
      <c r="D26" s="21" t="inlineStr">
        <is>
          <t>Df Recyclability Communication</t>
        </is>
      </c>
      <c r="E26" s="21" t="inlineStr">
        <is>
          <t>Df Recycled Content Labelling</t>
        </is>
      </c>
      <c r="F26" s="21" t="n">
        <v>3</v>
      </c>
      <c r="G26" s="21" t="inlineStr">
        <is>
          <t>medium</t>
        </is>
      </c>
      <c r="H26" s="21" t="inlineStr">
        <is>
          <t>Create clear labelling and marketing materials communicating recycled content percentages and material sources. Display recycled content information prominently on packaging and at point of purchase. Provide detailed documentation of recycled material sourcing and verification. Use standardized labelling formats enabling consistent communication across different product types.</t>
        </is>
      </c>
      <c r="I26" s="21" t="inlineStr">
        <is>
          <t>Consumer demand for recycled content products requires transparent communication about actual recycled material percentages. Visible labelling overcomes perception gaps where consumers cannot distinguish recycled-content from virgin-material products. Clear labelling builds brand differentiation for manufacturers pursuing secondary material strategies.
Transparent recycled content communication prevents greenwashing accusations and builds consumer trust. Standardized labelling enables fair comparison across products and manufacturers. Visible recycled content information appeals to environmentally conscious consumers influencing purchasing decisions.</t>
        </is>
      </c>
      <c r="J26" s="21" t="inlineStr">
        <is>
          <t>Increasingly important as recycled content regulations expand and consumer demand for sustainable products increases.</t>
        </is>
      </c>
      <c r="K26" s="21" t="inlineStr">
        <is>
          <t>Products feature visible recycled content labels showing percentages and material types. Packaging communicates material sourcing and verification. Marketing materials provide detailed recycled content information.</t>
        </is>
      </c>
      <c r="L26" s="21" t="inlineStr">
        <is>
          <t>• How will recycled content percentages be calculated and verified to ensure accuracy?
• What labelling formats best communicate recycled content information simply?
• How will recycled content labels remain visible and legible throughout product lifecycle?
• What standardization enables consistent recycled content communication?
• How will recycled content labelling adapt as material sourcing and verification standards evolve?</t>
        </is>
      </c>
      <c r="M26" s="21" t="n">
        <v>185</v>
      </c>
      <c r="N26" s="21" t="inlineStr">
        <is>
          <t>Hazen, B. T., Mollenkopf, D. A., &amp; Wang, Y. (2017). Remanufacturing for the circular economy: an examination of consumer switching behavior. Business Strategy and the Environment, 26(4), 451-464.
Geissdoerfer, M., Savaget, P., Bocken, N. M., &amp; Hultink, E. J. (2017). The Circular Economy–A new sustainability paradigm. Journal of Cleaner Production, 143, 757-768.
Bocken, N. M., de Pauw, I., Bakker, C., &amp; van der Grinten, B. (2016). Product design and business model strategies for a circular economy. Journal of Industrial and Production Engineering, 33(5), 308-320.</t>
        </is>
      </c>
      <c r="O26" s="21" t="n"/>
      <c r="P26" s="21" t="n"/>
      <c r="Q26" s="21" t="n"/>
      <c r="R26" s="21" t="inlineStr">
        <is>
          <t>LOOP N,LAST LOOP</t>
        </is>
      </c>
      <c r="S26" s="21" t="inlineStr">
        <is>
          <t>Products,Systems</t>
        </is>
      </c>
      <c r="T26" s="21" t="n"/>
      <c r="U26" s="21" t="n"/>
      <c r="V26" s="21" t="n"/>
      <c r="W26" s="21" t="n"/>
      <c r="X26" s="21" t="n"/>
    </row>
    <row r="27" ht="75" customHeight="1" s="76">
      <c r="A27" s="21" t="inlineStr">
        <is>
          <t>sale</t>
        </is>
      </c>
      <c r="B27" s="21" t="n">
        <v>318</v>
      </c>
      <c r="C27" s="21" t="inlineStr">
        <is>
          <t>Df Recycle</t>
        </is>
      </c>
      <c r="D27" s="21" t="inlineStr">
        <is>
          <t>Df Recyclability Communication</t>
        </is>
      </c>
      <c r="E27" s="21" t="inlineStr">
        <is>
          <t>Df End-of-Life Instruction</t>
        </is>
      </c>
      <c r="F27" s="21" t="n">
        <v>3</v>
      </c>
      <c r="G27" s="21" t="inlineStr">
        <is>
          <t>medium</t>
        </is>
      </c>
      <c r="H27" s="21" t="inlineStr">
        <is>
          <t>Create clear, accessible instructions communicating how and where to recycle products at end of life. Include material identification and separation instructions enabling consumers to prepare products correctly for recycling. Display end-of-life information on product packaging, user manuals, and at point of purchase. Create digital resources (QR codes, websites) providing location-specific recycling instructions.</t>
        </is>
      </c>
      <c r="I27" s="21" t="inlineStr">
        <is>
          <t>Consumer uncertainty about product recyclability and proper disposal creates barriers to recycling participation. Clear end-of-life instructions overcome this uncertainty, enabling consumer participation. Proper preparation (disassembly, component separation) improves material recovery efficiency.
Location-specific instructions accommodate diverse regional recycling infrastructure. Accessible guidance reduces consumer friction from recycling participation. Transparent disposal instructions build brand credibility and environmental commitment.</t>
        </is>
      </c>
      <c r="J27" s="21" t="inlineStr">
        <is>
          <t>Essential for consumer products where clear disposal guidance increases recycling participation rates.</t>
        </is>
      </c>
      <c r="K27" s="21" t="inlineStr">
        <is>
          <t>Products include clear end-of-life instructions on packaging and documentation. Material preparation guidance enables proper disassembly and separation. Digital platforms provide location-specific recycling information.</t>
        </is>
      </c>
      <c r="L27" s="21" t="inlineStr">
        <is>
          <t>• How can end-of-life instructions be communicated clearly without excessive complexity?
• What material preparation steps improve recycling efficiency without creating excessive consumer burden?
• How will location-specific recycling information be provided across diverse geographic areas?
• What visual systems communicate recycling instructions independent of language?
• How will end-of-life instructions adapt as recycling infrastructure and material types evolve?</t>
        </is>
      </c>
      <c r="M27" s="21" t="n">
        <v>185</v>
      </c>
      <c r="N27" s="21" t="inlineStr">
        <is>
          <t>Bakker, C., Wang, F., Huisman, J., &amp; den Hollander, M. (2014). Products that go round: exploring product life extension through design. Journal of Cleaner Production, 69, 10-16.
Vezzoli, C., Ceschin, F., Diehl, J. C., &amp; Kohtala, C. (2015). Why have 'Sustainable Product-Service Systems' not been widely implemented? Meeting new design challenges to achieve societal sustainability.
Geissdoerfer, M., Savaget, P., Bocken, N. M., &amp; Hultink, E. J. (2017). The Circular Economy–A new sustainability paradigm. Journal of Cleaner Production, 143, 757-768.</t>
        </is>
      </c>
      <c r="O27" s="21" t="n"/>
      <c r="P27" s="21" t="n"/>
      <c r="Q27" s="21" t="n"/>
      <c r="R27" s="21" t="inlineStr">
        <is>
          <t>LOOP N,LAST LOOP</t>
        </is>
      </c>
      <c r="S27" s="21" t="inlineStr">
        <is>
          <t>Products,Systems</t>
        </is>
      </c>
      <c r="T27" s="21" t="n"/>
      <c r="U27" s="21" t="n"/>
      <c r="V27" s="21" t="n"/>
      <c r="W27" s="21" t="n"/>
      <c r="X27" s="21" t="n"/>
    </row>
    <row r="28" ht="75" customHeight="1" s="76">
      <c r="A28" s="21" t="inlineStr">
        <is>
          <t>sale</t>
        </is>
      </c>
      <c r="B28" s="21" t="n">
        <v>319</v>
      </c>
      <c r="C28" s="21" t="inlineStr">
        <is>
          <t>Df Recycle</t>
        </is>
      </c>
      <c r="D28" s="21" t="inlineStr">
        <is>
          <t>Df Recyclability Communication</t>
        </is>
      </c>
      <c r="E28" s="21" t="inlineStr">
        <is>
          <t>Df Environmental Impact Quantification</t>
        </is>
      </c>
      <c r="F28" s="21" t="n">
        <v>3</v>
      </c>
      <c r="G28" s="21" t="inlineStr">
        <is>
          <t>medium</t>
        </is>
      </c>
      <c r="H28" s="21" t="inlineStr">
        <is>
          <t>Calculate and communicate quantified environmental impact differences between recycled and virgin material production. Display resource savings (water, energy), emissions reduction, and waste prevention achieved through material recycling. Create accessible environmental impact labels using simple metrics. Third-party verify environmental claims to ensure credibility.</t>
        </is>
      </c>
      <c r="I28" s="21" t="inlineStr">
        <is>
          <t>Environmental benefits of recycling are substantial but often not quantified or communicated. Quantified environmental data overcomes greenwashing skepticism and enables informed consumer decisions. Transparency about environmental impact appeals to segments where sustainability influences purchasing.</t>
        </is>
      </c>
      <c r="J28" s="21" t="inlineStr">
        <is>
          <t>Increasingly important for products where environmental impact influences purchasing decisions.</t>
        </is>
      </c>
      <c r="K28" s="21" t="inlineStr">
        <is>
          <t>Products feature environmental impact labels showing resource and emissions savings. Detailed lifecycle assessment data available in marketing materials. Third-party verification ensures environmental claim credibility.</t>
        </is>
      </c>
      <c r="L28" s="21" t="inlineStr">
        <is>
          <t>• How will environmental impact data be calculated ensuring fair comparison to virgin material production?
• What environmental metrics best communicate recycling benefits to consumers?
• What third-party verification ensures environmental claim credibility?
• How will environmental data be presented simply without oversimplification?
• How will environmental quantification adapt as recycling processes improve?</t>
        </is>
      </c>
      <c r="M28" s="21" t="n">
        <v>182</v>
      </c>
      <c r="N28" s="21" t="inlineStr">
        <is>
          <t>Allwood, J. M., Ashby, M. F., Gutowski, T. G., &amp; Worrell, E. (2013). Material efficiency: providing material for society. Annual Review of Environment and Resources, 38, 575-600.
McDonough, W., &amp; Braungart, M. (2002). Cradle to cradle: Remaking the way we make things. North Point Press.
Stahel, W. R. (2016). The circular economy. Nature, 531(7595), 435-438.</t>
        </is>
      </c>
      <c r="O28" s="21" t="n"/>
      <c r="P28" s="21" t="n"/>
      <c r="Q28" s="21" t="n"/>
      <c r="R28" s="21" t="inlineStr">
        <is>
          <t>LOOP N,LAST LOOP</t>
        </is>
      </c>
      <c r="S28" s="21" t="inlineStr">
        <is>
          <t>Products,Systems</t>
        </is>
      </c>
      <c r="T28" s="21" t="n"/>
      <c r="U28" s="21" t="n"/>
      <c r="V28" s="21" t="n"/>
      <c r="W28" s="21" t="n"/>
      <c r="X28" s="21" t="n"/>
    </row>
    <row r="29" ht="75" customHeight="1" s="76">
      <c r="A29" s="21" t="inlineStr">
        <is>
          <t>use</t>
        </is>
      </c>
      <c r="B29" s="21" t="n">
        <v>320</v>
      </c>
      <c r="C29" s="21" t="inlineStr">
        <is>
          <t>Df Recycle</t>
        </is>
      </c>
      <c r="D29" s="21" t="inlineStr">
        <is>
          <t>Df Recycling Behaviour</t>
        </is>
      </c>
      <c r="E29" s="21" t="inlineStr">
        <is>
          <t>Df Separation Guidance</t>
        </is>
      </c>
      <c r="F29" s="21" t="n">
        <v>3</v>
      </c>
      <c r="G29" s="21" t="inlineStr">
        <is>
          <t>medium</t>
        </is>
      </c>
      <c r="H29" s="21" t="inlineStr">
        <is>
          <t>Embed clear material separation instructions directly into product design, enabling consumers to disassemble products into recyclable components during disposal preparation. Create visual markers showing disassembly procedures and material types. Design quick-disconnect features enabling user-friendly material separation. Provide step-by-step guidance in user documentation and QR code-linked resources.</t>
        </is>
      </c>
      <c r="I29" s="21" t="inlineStr">
        <is>
          <t>Products disposed intact often contaminate recycling streams when incompatible materials combine during processing. Consumer guidance enabling material separation improves recycling efficiency and recovered material quality. Disassembly guidance ensures each material reaches appropriate recycling stream.
User-friendly separation reduces contamination risks and improves recovered material economics. Embedded instructions create consumer engagement with recycling processes. Clear separation guidance demonstrates product design for recycling integrity.</t>
        </is>
      </c>
      <c r="J29" s="21" t="inlineStr">
        <is>
          <t>Important for multi-material products where component separation improves recycling efficiency.</t>
        </is>
      </c>
      <c r="K29" s="21" t="inlineStr">
        <is>
          <t>Products feature visual disassembly markers and material identification. Quick-disconnect features enable user-friendly separation. Documentation includes step-by-step separation procedures.</t>
        </is>
      </c>
      <c r="L29" s="21" t="inlineStr">
        <is>
          <t>• How can disassembly procedures remain simple without requiring specialized tools or expertise?
• What visual systems communicate separation procedures independent of language?
• How will quick-disconnect features be designed without compromising product durability?
• What risks exist if consumers disassemble products improperly?
• How will disassembly guidance be communicated effectively at point of disposal?</t>
        </is>
      </c>
      <c r="M29" s="21" t="n">
        <v>185</v>
      </c>
      <c r="N29" s="21" t="inlineStr">
        <is>
          <t>Bakker, C., Wang, F., Huisman, J., &amp; den Hollander, M. (2014). Products that go round: exploring product life extension through design. Journal of Cleaner Production, 69, 10-16.
Vezzoli, C., Ceschin, F., Diehl, J. C., &amp; Kohtala, C. (2015). Why have 'Sustainable Product-Service Systems' not been widely implemented? Meeting new design challenges to achieve societal sustainability.
Bocken, N. M., de Pauw, I., Bakker, C., &amp; van der Grinten, B. (2016). Product design and business model strategies for a circular economy. Journal of Industrial and Production Engineering, 33(5), 308-320.</t>
        </is>
      </c>
      <c r="O29" s="21" t="n"/>
      <c r="P29" s="21" t="n"/>
      <c r="Q29" s="21" t="n"/>
      <c r="R29" s="21" t="inlineStr">
        <is>
          <t>LOOP N,LAST LOOP</t>
        </is>
      </c>
      <c r="S29" s="21" t="inlineStr">
        <is>
          <t>Products,Systems</t>
        </is>
      </c>
      <c r="T29" s="21" t="n"/>
      <c r="U29" s="21" t="n"/>
      <c r="V29" s="21" t="n"/>
      <c r="W29" s="21" t="n"/>
      <c r="X29" s="21" t="n"/>
    </row>
    <row r="30" ht="75" customHeight="1" s="76">
      <c r="A30" s="21" t="inlineStr">
        <is>
          <t>use</t>
        </is>
      </c>
      <c r="B30" s="21" t="n">
        <v>321</v>
      </c>
      <c r="C30" s="21" t="inlineStr">
        <is>
          <t>Df Recycle</t>
        </is>
      </c>
      <c r="D30" s="21" t="inlineStr">
        <is>
          <t>Df Recycling Behaviour</t>
        </is>
      </c>
      <c r="E30" s="21" t="inlineStr">
        <is>
          <t>Df Contamination Prevention Guidance</t>
        </is>
      </c>
      <c r="F30" s="21" t="n">
        <v>3</v>
      </c>
      <c r="G30" s="21" t="inlineStr">
        <is>
          <t>medium</t>
        </is>
      </c>
      <c r="H30" s="21" t="inlineStr">
        <is>
          <t>Develop clear user guidance preventing contamination during product disposal and preparation for recycling. Specify what must be removed before recycling (liquids, batteries, non-recyclable components). Communicate potential contamination risks (chemical residues, mixed materials) that compromise material streams. Provide instructions for safe component removal and hazardous material handling.</t>
        </is>
      </c>
      <c r="I30" s="21" t="inlineStr">
        <is>
          <t>User-caused contamination creates significant recycling system failures where hazardous materials or non-recyclable components damage equipment or contaminate material streams. Clear prevention guidance enables consumers to prepare products responsibly. Contamination-free disposal maximizes recycling success rates.
User awareness of contamination risks improves participation quality and system integrity. Clear guidance reduces worker safety risks during recycling operations. Prevention-focused communication creates consumer engagement with responsible disposal practices.</t>
        </is>
      </c>
      <c r="J30" s="21" t="inlineStr">
        <is>
          <t>Critical for products with components requiring special handling (batteries, liquids, hazardous materials).</t>
        </is>
      </c>
      <c r="K30" s="21" t="inlineStr">
        <is>
          <t>Products include clear contamination prevention guidance. Safety instructions for hazardous component handling documented. Disposal preparation requirements clearly communicated.</t>
        </is>
      </c>
      <c r="L30" s="21" t="inlineStr">
        <is>
          <t>• What components most commonly contaminate recycling streams and require special handling?
• How will contamination risks be communicated clearly without creating consumer confusion?
• What safety guidance ensures safe handling of hazardous components?
• How will disposal preparation requirements be communicated effectively?
• How will guidance adapt as product designs and recycling processes evolve?</t>
        </is>
      </c>
      <c r="M30" s="21" t="n">
        <v>183</v>
      </c>
      <c r="N30" s="21" t="inlineStr">
        <is>
          <t>Rogers, D. S., &amp; Tibben-Lembke, R. S. (2001). An examination of reverse logistics practices. Journal of Business Logistics, 22(2), 129-148.
Allwood, J. M., Ashby, M. F., Gutowski, T. G., &amp; Worrell, E. (2013). Material efficiency: providing material for society. Annual Review of Environment and Resources, 38, 575-600.
Geissdoerfer, M., Savaget, P., Bocken, N. M., &amp; Hultink, E. J. (2017). The Circular Economy–A new sustainability paradigm. Journal of Cleaner Production, 143, 757-768.</t>
        </is>
      </c>
      <c r="O30" s="21" t="n"/>
      <c r="P30" s="21" t="n"/>
      <c r="Q30" s="21" t="n"/>
      <c r="R30" s="21" t="inlineStr">
        <is>
          <t>LOOP N,LAST LOOP</t>
        </is>
      </c>
      <c r="S30" s="21" t="inlineStr">
        <is>
          <t>Products,Systems</t>
        </is>
      </c>
      <c r="T30" s="21" t="n"/>
      <c r="U30" s="21" t="n"/>
      <c r="V30" s="21" t="n"/>
      <c r="W30" s="21" t="n"/>
      <c r="X30" s="21" t="n"/>
    </row>
    <row r="31" ht="75" customHeight="1" s="76">
      <c r="A31" s="21" t="inlineStr">
        <is>
          <t>use</t>
        </is>
      </c>
      <c r="B31" s="21" t="n">
        <v>322</v>
      </c>
      <c r="C31" s="21" t="inlineStr">
        <is>
          <t>Df Recycle</t>
        </is>
      </c>
      <c r="D31" s="21" t="inlineStr">
        <is>
          <t>Df Recycling Behaviour</t>
        </is>
      </c>
      <c r="E31" s="21" t="inlineStr">
        <is>
          <t>Df Return Incentive Design</t>
        </is>
      </c>
      <c r="F31" s="21" t="n">
        <v>3</v>
      </c>
      <c r="G31" s="21" t="inlineStr">
        <is>
          <t>medium</t>
        </is>
      </c>
      <c r="H31" s="21" t="inlineStr">
        <is>
          <t>Create financial or reward-based incentive systems encouraging consumers to return products for recycling rather than discarding. Establish deposit systems providing refunds on product return. Design reward programs offering credits or incentives for documented recycling participation. Develop convenient return mechanisms minimizing participation friction. Communicate incentive benefits clearly at point of purchase and through ongoing engagement.</t>
        </is>
      </c>
      <c r="I31" s="21" t="inlineStr">
        <is>
          <t>Many consumers default to convenient disposal (landfill) even when recycling opportunities exist. Financial incentives overcome convenience bias by creating personal economic motivation for responsible disposal. Return incentives increase recycling participation rates dramatically.
Incentive systems create market conditions where recycled material recovery becomes economically attractive to consumers. Deposit-based systems ensure reliable material recovery and close collection loops. Reward programs create positive consumer engagement with sustainability practices.</t>
        </is>
      </c>
      <c r="J31" s="21" t="inlineStr">
        <is>
          <t>Effective for increasing recycling participation across diverse consumer segments and product types.</t>
        </is>
      </c>
      <c r="K31" s="21" t="inlineStr">
        <is>
          <t>Products sold with documented return incentives (deposits, rewards). Convenient return mechanisms established. Incentive benefits clearly communicated at point of purchase.</t>
        </is>
      </c>
      <c r="L31" s="21" t="inlineStr">
        <is>
          <t>• What incentive levels create sufficient motivation without excessive financial burden?
• How will return mechanisms remain convenient and accessible across diverse geographies?
• What verification systems ensure legitimate recycling participation?
• How will incentive systems scale to support high return volumes?
• How will incentive programs adapt as consumer preferences and economic conditions change?</t>
        </is>
      </c>
      <c r="M31" s="21" t="n">
        <v>184</v>
      </c>
      <c r="N31" s="21" t="inlineStr">
        <is>
          <t>Geissdoerfer, M., Savaget, P., Bocken, N. M., &amp; Hultink, E. J. (2017). The Circular Economy–A new sustainability paradigm. Journal of Cleaner Production, 143, 757-768.
Lacy, P., Rutqvist, J., &amp; BuddPress, B. (2015). Waste to wealth: the circular economy advantage. Accenture.
Tukker, A. (2015). Product services for a resource-efficient and circular economy–a review. Journal of Cleaner Production, 97, 76-91.</t>
        </is>
      </c>
      <c r="O31" s="21" t="n"/>
      <c r="P31" s="21" t="n"/>
      <c r="Q31" s="21" t="n"/>
      <c r="R31" s="21" t="inlineStr">
        <is>
          <t>LOOP N,LAST LOOP</t>
        </is>
      </c>
      <c r="S31" s="21" t="inlineStr">
        <is>
          <t>Products,Systems</t>
        </is>
      </c>
      <c r="T31" s="21" t="n"/>
      <c r="U31" s="21" t="n"/>
      <c r="V31" s="21" t="n"/>
      <c r="W31" s="21" t="n"/>
      <c r="X31" s="21" t="n"/>
    </row>
    <row r="32" ht="75" customHeight="1" s="76">
      <c r="A32" s="21" t="inlineStr">
        <is>
          <t>service</t>
        </is>
      </c>
      <c r="B32" s="21" t="n">
        <v>323</v>
      </c>
      <c r="C32" s="21" t="inlineStr">
        <is>
          <t>Df Recycle</t>
        </is>
      </c>
      <c r="D32" s="21" t="inlineStr">
        <is>
          <t>Df Recyclability Preservation</t>
        </is>
      </c>
      <c r="E32" s="21" t="inlineStr">
        <is>
          <t>Df Repair-Safe Material Substitution</t>
        </is>
      </c>
      <c r="F32" s="21" t="n">
        <v>3</v>
      </c>
      <c r="G32" s="21" t="inlineStr">
        <is>
          <t>medium</t>
        </is>
      </c>
      <c r="H32" s="21" t="inlineStr">
        <is>
          <t>Specify repair materials and components that remain compatible with recycling processes when products eventually enter end-of-life recycling. Develop repair material guidelines ensuring service replacements don't compromise recyclability. Establish supply agreements with authorized repair networks ensuring standardized service materials. Create material compatibility documentation enabling future recyclers to understand service history.</t>
        </is>
      </c>
      <c r="I32" s="21" t="inlineStr">
        <is>
          <t>Products requiring repairs often receive incompatible replacement materials that compromise eventual recyclability. Service-stage contamination occurs when repair materials create incompatible combinations degrading recycling efficiency. Repair-safe material substitution maintains recyclability through entire product lifecycle.
Standardized repair materials create supply efficiency and compatibility across repair networks. Material compatibility information enables recyclers to make informed processing decisions. Lifecycle material transparency supports efficient material recovery.</t>
        </is>
      </c>
      <c r="J32" s="21" t="inlineStr">
        <is>
          <t>Important for products commonly requiring repairs during use-phase lifecycles.</t>
        </is>
      </c>
      <c r="K32" s="21" t="inlineStr">
        <is>
          <t>Repair materials specified for compatibility with original material recycling processes. Supply agreements establish standardized repair material usage. Service records document repair material compatibility.</t>
        </is>
      </c>
      <c r="L32" s="21" t="inlineStr">
        <is>
          <t>• What repair materials remain compatible with recycling processes without compromising quality?
• How will repair networks ensure consistent material substitution across distributed service locations?
• What documentation systems track repair material history for future recyclers?
• How will compatibility be ensured as new repair materials and technologies emerge?
• What mechanisms prevent incompatible repair materials from entering service channels?</t>
        </is>
      </c>
      <c r="M32" s="21" t="n">
        <v>182</v>
      </c>
      <c r="N32" s="21" t="inlineStr">
        <is>
          <t>Sundin, E., &amp; Bras, B. (2005). Making functional products sustainable through service modularity design. Journal of Cleaner Production, 13(10-11), 993-1006.
Allwood, J. M., Ashby, M. F., Gutowski, T. G., &amp; Worrell, E. (2013). Material efficiency: providing material for society. Annual Review of Environment and Resources, 38, 575-600.
Bakker, C., Wang, F., Huisman, J., &amp; den Hollander, M. (2014). Products that go round: exploring product life extension through design. Journal of Cleaner Production, 69, 10-16.</t>
        </is>
      </c>
      <c r="O32" s="21" t="n"/>
      <c r="P32" s="21" t="n"/>
      <c r="Q32" s="21" t="n"/>
      <c r="R32" s="21" t="inlineStr">
        <is>
          <t>LOOP N,LAST LOOP</t>
        </is>
      </c>
      <c r="S32" s="21" t="inlineStr">
        <is>
          <t>Materials,Products,Systems</t>
        </is>
      </c>
      <c r="T32" s="21" t="n"/>
      <c r="U32" s="21" t="n"/>
      <c r="V32" s="21" t="n"/>
      <c r="W32" s="21" t="n"/>
      <c r="X32" s="21" t="n"/>
    </row>
    <row r="33" ht="75" customHeight="1" s="76">
      <c r="A33" s="21" t="inlineStr">
        <is>
          <t>service</t>
        </is>
      </c>
      <c r="B33" s="21" t="n">
        <v>324</v>
      </c>
      <c r="C33" s="21" t="inlineStr">
        <is>
          <t>Df Recycle</t>
        </is>
      </c>
      <c r="D33" s="21" t="inlineStr">
        <is>
          <t>Df Recyclability Preservation</t>
        </is>
      </c>
      <c r="E33" s="21" t="inlineStr">
        <is>
          <t>Df Hazardous Material Management</t>
        </is>
      </c>
      <c r="F33" s="21" t="n">
        <v>3</v>
      </c>
      <c r="G33" s="21" t="inlineStr">
        <is>
          <t>medium</t>
        </is>
      </c>
      <c r="H33" s="21" t="inlineStr">
        <is>
          <t>Establish procedures ensuring safe hazardous material removal during service operations before products enter recycling. Develop service protocols identifying and isolating hazardous components (batteries, capacitors, mercury-containing elements). Create documented procedures for safe hazardous material handling and disposal. Establish certified disposal channels for hazardous waste. Maintain service records documenting hazardous material removal.</t>
        </is>
      </c>
      <c r="I33" s="21" t="inlineStr">
        <is>
          <t>Hazardous materials remaining in products during recycling create worker safety risks and environmental contamination. Service-stage hazardous material removal prevents these risks by addressing hazards before recycling operations begin. Safe removal procedures enable remaining material streams to be processed without contamination.</t>
        </is>
      </c>
      <c r="J33" s="21" t="inlineStr">
        <is>
          <t>Essential for products containing hazardous components requiring safe removal before recycling.</t>
        </is>
      </c>
      <c r="K33" s="21" t="inlineStr">
        <is>
          <t>Service procedures document hazardous component identification and removal. Certified disposal channels established for hazardous materials. Service records track hazardous material removal and disposal.</t>
        </is>
      </c>
      <c r="L33" s="21" t="inlineStr">
        <is>
          <t>• What components require hazardous material classification and special removal procedures?
• How will service technicians be trained to safely identify and remove hazardous materials?
• What certified disposal channels ensure proper hazardous material handling?
• How will hazardous material removal be documented and verified?
• What protocols prevent hazardous material escaping into recycling streams?</t>
        </is>
      </c>
      <c r="M33" s="21" t="n">
        <v>181</v>
      </c>
      <c r="N33" s="21" t="inlineStr">
        <is>
          <t>Ijomah, W. L., McMahon, C. A., Hammond, G. P., &amp; Newman, S. T. (2007). Development of design for remanufacturing guidelines to support sustainable product design. Journal of Cleaner Production, 15(4), 404-416.
Allwood, J. M., Ashby, M. F., Gutowski, T. G., &amp; Worrell, E. (2013). Material efficiency: providing material for society. Annual Review of Environment and Resources, 38, 575-600.
Geissdoerfer, M., Savaget, P., Bocken, N. M., &amp; Hultink, E. J. (2017). The Circular Economy–A new sustainability paradigm. Journal of Cleaner Production, 143, 757-768.</t>
        </is>
      </c>
      <c r="O33" s="21" t="n"/>
      <c r="P33" s="21" t="n"/>
      <c r="Q33" s="21" t="n"/>
      <c r="R33" s="21" t="inlineStr">
        <is>
          <t>LOOP N,LAST LOOP</t>
        </is>
      </c>
      <c r="S33" s="21" t="inlineStr">
        <is>
          <t>Products,Processes,Systems</t>
        </is>
      </c>
      <c r="T33" s="21" t="n"/>
      <c r="U33" s="21" t="n"/>
      <c r="V33" s="21" t="n"/>
      <c r="W33" s="21" t="n"/>
      <c r="X33" s="21" t="n"/>
    </row>
    <row r="34" ht="75" customHeight="1" s="76">
      <c r="A34" s="21" t="inlineStr">
        <is>
          <t>service</t>
        </is>
      </c>
      <c r="B34" s="21" t="n">
        <v>325</v>
      </c>
      <c r="C34" s="21" t="inlineStr">
        <is>
          <t>Df Recycle</t>
        </is>
      </c>
      <c r="D34" s="21" t="inlineStr">
        <is>
          <t>Df Recyclability Preservation</t>
        </is>
      </c>
      <c r="E34" s="21" t="inlineStr">
        <is>
          <t>Df Material Composition Documentation</t>
        </is>
      </c>
      <c r="F34" s="21" t="n">
        <v>3</v>
      </c>
      <c r="G34" s="21" t="inlineStr">
        <is>
          <t>medium</t>
        </is>
      </c>
      <c r="H34" s="21" t="inlineStr">
        <is>
          <t>Establish service documentation systems tracking material composition changes resulting from repairs and component replacements. Record replacement part specifications and material compatibility. Maintain accessible historical records enabling future recyclers to understand material composition. Create digital platforms (QR codes, product passports) providing material composition history.</t>
        </is>
      </c>
      <c r="I34" s="21" t="inlineStr">
        <is>
          <t>Service-stage modifications alter original material composition, creating uncertainty for future recyclers. Documented material history enables recyclers to understand actual product composition rather than original specifications. Transparency supports efficient recycling planning and risk mitigation.</t>
        </is>
      </c>
      <c r="J34" s="21" t="inlineStr">
        <is>
          <t>Important for products undergoing multiple service cycles where composition changes accumulate.</t>
        </is>
      </c>
      <c r="K34" s="21" t="inlineStr">
        <is>
          <t>Service records document component replacements and material changes. Digital platforms maintain material composition history. Product passports updated with service-stage modifications.</t>
        </is>
      </c>
      <c r="L34" s="21" t="inlineStr">
        <is>
          <t>• How will service-stage material changes be documented and communicated to recyclers?
• What digital systems maintain accessible material composition history through product lifecycles?
• How will documentation ensure recyclers understand actual material composition?
• What standardization enables consistent material composition documentation?
• How will documentation systems adapt as products undergo multiple service cycles?</t>
        </is>
      </c>
      <c r="M34" s="21" t="n">
        <v>176</v>
      </c>
      <c r="N34" s="21" t="inlineStr">
        <is>
          <t>Sundin, E., Lindahl, M., &amp; Ijomah, W. (2009). Product design for successful remanufacturing. In Handbook of Research in Sustainable Manufacturing. IGI Global.
Allwood, J. M., Ashby, M. F., Gutowski, T. G., &amp; Worrell, E. (2013). Material efficiency: providing material for society. Annual Review of Environment and Resources, 38, 575-600.
Geissdoerfer, M., Savaget, P., Bocken, N. M., &amp; Hultink, E. J. (2017). The Circular Economy–A new sustainability paradigm. Journal of Cleaner Production, 143, 757-768.</t>
        </is>
      </c>
      <c r="O34" s="21" t="n"/>
      <c r="P34" s="21" t="n"/>
      <c r="Q34" s="21" t="n"/>
      <c r="R34" s="21" t="inlineStr">
        <is>
          <t>LOOP N,LAST LOOP</t>
        </is>
      </c>
      <c r="S34" s="21" t="inlineStr">
        <is>
          <t>Materials,Products,Systems</t>
        </is>
      </c>
      <c r="T34" s="21" t="n"/>
      <c r="U34" s="21" t="n"/>
      <c r="V34" s="21" t="n"/>
      <c r="W34" s="21" t="n"/>
      <c r="X34" s="21" t="n"/>
    </row>
    <row r="35" ht="75" customHeight="1" s="76">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row>
    <row r="36" ht="75" customHeight="1" s="7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row>
    <row r="37" ht="75" customHeight="1" s="76">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row>
    <row r="38" ht="75" customHeight="1" s="76">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row>
    <row r="39" ht="75" customHeight="1" s="76">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row>
    <row r="40" ht="75" customHeight="1" s="76">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row>
    <row r="41" ht="75" customHeight="1" s="76">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row>
    <row r="42" ht="75" customHeight="1" s="76">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row>
    <row r="43" ht="75" customHeight="1" s="76">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row>
    <row r="44" ht="75" customHeight="1" s="76">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row>
    <row r="45" ht="75" customHeight="1" s="76">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row>
    <row r="46" ht="75" customHeight="1" s="7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row>
    <row r="47" ht="75" customHeight="1" s="76">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row>
    <row r="48" ht="75" customHeight="1" s="76">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row>
    <row r="49" ht="75" customHeight="1" s="76">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row>
    <row r="50" ht="75" customHeight="1" s="76">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row>
    <row r="51" ht="75" customHeight="1" s="76">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row>
    <row r="52" ht="75" customHeight="1" s="76">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row>
    <row r="53" ht="75" customHeight="1" s="76">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row>
    <row r="54" ht="75" customHeight="1" s="76">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row>
    <row r="55" ht="75" customHeight="1" s="76">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row>
    <row r="56" ht="75" customHeight="1" s="7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row>
    <row r="57" ht="75" customHeight="1" s="76">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row>
    <row r="58" ht="75" customHeight="1" s="76">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row>
    <row r="59" ht="75" customHeight="1" s="76">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row>
    <row r="60" ht="75" customHeight="1" s="76">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row>
    <row r="61" ht="75" customHeight="1" s="76">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row>
    <row r="62" ht="75" customHeight="1" s="76">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row>
    <row r="63" ht="75" customHeight="1" s="76">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row>
    <row r="64" ht="75" customHeight="1" s="76">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row>
    <row r="65" ht="75" customHeight="1" s="76">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row>
    <row r="66" ht="75" customHeight="1" s="7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row>
    <row r="67" ht="75" customHeight="1" s="76">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row>
    <row r="68" ht="75" customHeight="1" s="76">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row>
    <row r="69" ht="75" customHeight="1" s="76">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row>
    <row r="70" ht="75" customHeight="1" s="76">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row>
    <row r="71" ht="75" customHeight="1" s="76">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row>
    <row r="72" ht="75" customHeight="1" s="76">
      <c r="A72" s="21" t="n"/>
      <c r="B72" s="21" t="n"/>
      <c r="C72" s="21" t="n"/>
      <c r="D72" s="21" t="n"/>
      <c r="E72" s="21" t="n"/>
      <c r="F72" s="21" t="n"/>
      <c r="G72" s="21" t="n"/>
      <c r="H72" s="21" t="n"/>
      <c r="I72" s="21" t="n"/>
      <c r="J72" s="21" t="n"/>
      <c r="K72" s="21" t="n"/>
      <c r="L72" s="21" t="n"/>
      <c r="M72" s="21" t="n"/>
      <c r="N72" s="21" t="n"/>
      <c r="O72" s="21" t="n"/>
      <c r="P72" s="21" t="n"/>
      <c r="Q72" s="21" t="n"/>
      <c r="R72" s="24" t="n"/>
      <c r="S72" s="24" t="n"/>
      <c r="T72" s="21" t="n"/>
      <c r="U72" s="21" t="n"/>
      <c r="V72" s="21" t="n"/>
      <c r="W72" s="21" t="n"/>
      <c r="X72" s="21" t="n"/>
    </row>
    <row r="73" ht="75" customHeight="1" s="76">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row>
    <row r="74" ht="75" customHeight="1" s="76">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row>
    <row r="75" ht="75" customHeight="1" s="76">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row>
    <row r="76" ht="75" customHeight="1" s="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row>
    <row r="77" ht="75" customHeight="1" s="76">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row>
    <row r="78" ht="75" customHeight="1" s="76">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row>
    <row r="79" ht="75" customHeight="1" s="76">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row>
    <row r="80" ht="75" customHeight="1" s="76">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row>
    <row r="81" ht="75" customHeight="1" s="76">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row>
    <row r="82" ht="75" customHeight="1" s="76">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row>
    <row r="83" ht="75" customHeight="1" s="76">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row>
    <row r="84" ht="75" customHeight="1" s="76">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row>
    <row r="85" ht="75" customHeight="1" s="76">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row>
    <row r="86" ht="75" customHeight="1" s="7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row>
    <row r="87" ht="75" customHeight="1" s="76">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row>
    <row r="88" ht="75" customHeight="1" s="76">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row>
    <row r="89" ht="75" customHeight="1" s="76">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row>
    <row r="90" ht="75" customHeight="1" s="76">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row>
    <row r="91" ht="75" customHeight="1" s="76">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row>
    <row r="92" ht="75" customHeight="1" s="76">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row>
    <row r="93" ht="75" customHeight="1" s="76">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row>
    <row r="94" ht="75" customHeight="1" s="76">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row>
    <row r="95" ht="75" customHeight="1" s="76">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row>
    <row r="96" ht="75" customHeight="1" s="7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row>
    <row r="97" ht="75" customHeight="1" s="76">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row>
    <row r="98" ht="75" customHeight="1" s="76">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row>
    <row r="99" ht="75" customHeight="1" s="76">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row>
    <row r="100" ht="75" customHeight="1" s="76">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row>
    <row r="101" ht="75" customHeight="1" s="76">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row>
    <row r="102" ht="75" customHeight="1" s="76">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row>
    <row r="103" ht="75" customHeight="1" s="76">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row>
    <row r="104" ht="75" customHeight="1" s="76">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row>
    <row r="105" ht="75" customHeight="1" s="76">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row>
    <row r="106" ht="75" customHeight="1" s="7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row>
    <row r="107" ht="75" customHeight="1" s="76">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row>
    <row r="108" ht="75" customHeight="1" s="76">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row>
    <row r="109" ht="75" customHeight="1" s="76">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row>
    <row r="110" ht="75" customHeight="1" s="76">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row>
    <row r="111" ht="75" customHeight="1" s="76">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row>
    <row r="112" ht="75" customHeight="1" s="76">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row>
    <row r="113" ht="75" customHeight="1" s="76">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row>
    <row r="114" ht="75" customHeight="1" s="76">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row>
    <row r="115" ht="75" customHeight="1" s="76">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row>
    <row r="116" ht="75" customHeight="1" s="7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row>
    <row r="117" ht="75" customHeight="1" s="76">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row>
    <row r="118" ht="75" customHeight="1" s="76">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row>
    <row r="119" ht="75" customHeight="1" s="76">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row>
    <row r="120" ht="75" customHeight="1" s="76">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row>
    <row r="121" ht="75" customHeight="1" s="76">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row>
    <row r="122" ht="75" customHeight="1" s="76">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row>
    <row r="123" ht="75" customHeight="1" s="76">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row>
    <row r="124" ht="75" customHeight="1" s="76">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row>
    <row r="125" ht="75" customHeight="1" s="76">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row>
    <row r="126" ht="75" customHeight="1" s="7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row>
    <row r="127" ht="75" customHeight="1" s="76">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row>
    <row r="128" ht="75" customHeight="1" s="76">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row>
    <row r="129" ht="75" customHeight="1" s="76">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row>
    <row r="130" ht="75" customHeight="1" s="76">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row>
    <row r="131" ht="75" customHeight="1" s="76">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row>
    <row r="132" ht="75" customHeight="1" s="76">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row>
    <row r="133" ht="75" customHeight="1" s="76">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row>
    <row r="134" ht="75" customHeight="1" s="76">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row>
    <row r="135" ht="75" customHeight="1" s="76">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row>
    <row r="136" ht="75" customHeight="1" s="7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row>
    <row r="137" ht="75" customHeight="1" s="76">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row>
    <row r="138" ht="75" customHeight="1" s="76">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row>
    <row r="139" ht="75" customHeight="1" s="76">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row>
    <row r="140" ht="75" customHeight="1" s="76">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row>
    <row r="141" ht="75" customHeight="1" s="76">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row>
    <row r="142" ht="75" customHeight="1" s="76">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row>
    <row r="143" ht="75" customHeight="1" s="76">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row>
    <row r="144" ht="75" customHeight="1" s="76">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row>
    <row r="145" ht="75" customHeight="1" s="76">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row>
    <row r="146" ht="75" customHeight="1" s="7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row>
    <row r="147" ht="75" customHeight="1" s="76">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row>
    <row r="148" ht="75" customHeight="1" s="76">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row>
    <row r="149" ht="75" customHeight="1" s="76">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row>
    <row r="150" ht="75" customHeight="1" s="76">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row>
    <row r="151" ht="75" customHeight="1" s="76">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row>
    <row r="152" ht="75" customHeight="1" s="76">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row>
    <row r="153" ht="75" customHeight="1" s="76">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row>
    <row r="154" ht="75" customHeight="1" s="76">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row>
    <row r="155" ht="75" customHeight="1" s="76">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row>
    <row r="156" ht="75" customHeight="1" s="7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row>
    <row r="157" ht="75" customHeight="1" s="76">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row>
    <row r="158" ht="75" customHeight="1" s="76">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row>
    <row r="159" ht="75" customHeight="1" s="76">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row>
    <row r="160" ht="75" customHeight="1" s="76">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row>
    <row r="161" ht="75" customHeight="1" s="76">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row>
    <row r="162" ht="75" customHeight="1" s="76">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row>
    <row r="163" ht="75" customHeight="1" s="76">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row>
    <row r="164" ht="75" customHeight="1" s="76">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row>
    <row r="165" ht="75" customHeight="1" s="76">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row>
    <row r="166" ht="75" customHeight="1" s="7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row>
    <row r="167" ht="75" customHeight="1" s="76">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row>
    <row r="168" ht="75" customHeight="1" s="76">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row>
    <row r="169" ht="75" customHeight="1" s="76">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row>
    <row r="170" ht="75" customHeight="1" s="76">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row>
    <row r="171" ht="75" customHeight="1" s="76">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row>
    <row r="172" ht="75" customHeight="1" s="76">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row>
    <row r="173" ht="75" customHeight="1" s="76">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row>
    <row r="174" ht="75" customHeight="1" s="76">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row>
    <row r="175" ht="75" customHeight="1" s="76">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row>
    <row r="176" ht="75" customHeight="1" s="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row>
    <row r="177" ht="75" customHeight="1" s="76">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row>
    <row r="178" ht="75" customHeight="1" s="76">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row>
    <row r="179" ht="75" customHeight="1" s="76">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row>
    <row r="180" ht="75" customHeight="1" s="76">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row>
    <row r="181" ht="75" customHeight="1" s="76">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row>
    <row r="182" ht="75" customHeight="1" s="76">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row>
    <row r="183" ht="75" customHeight="1" s="76">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row>
    <row r="184" ht="75" customHeight="1" s="76">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row>
    <row r="185" ht="75" customHeight="1" s="76">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row>
    <row r="186" ht="75" customHeight="1" s="7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row>
    <row r="187" ht="75" customHeight="1" s="76">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row>
    <row r="188" ht="75" customHeight="1" s="76">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row>
    <row r="189" ht="75" customHeight="1" s="76">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row>
    <row r="190" ht="75" customHeight="1" s="76">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row>
    <row r="191" ht="75" customHeight="1" s="76">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row>
    <row r="192" ht="75" customHeight="1" s="76">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row>
    <row r="193" ht="75" customHeight="1" s="76">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row>
    <row r="194" ht="75" customHeight="1" s="76">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row>
    <row r="195" ht="75" customHeight="1" s="76">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row>
    <row r="196" ht="75" customHeight="1" s="7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row>
    <row r="197" ht="75" customHeight="1" s="76">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row>
    <row r="198" ht="75" customHeight="1" s="76">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row>
    <row r="199" ht="75" customHeight="1" s="76">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row>
    <row r="200" ht="75" customHeight="1" s="76">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row>
    <row r="201" ht="75" customHeight="1" s="76">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row>
    <row r="202" ht="75" customHeight="1" s="76">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row>
    <row r="203" ht="75" customHeight="1" s="76">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row>
    <row r="204" ht="75" customHeight="1" s="76">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row>
    <row r="205" ht="75" customHeight="1" s="76">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row>
    <row r="206" ht="75" customHeight="1" s="7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row>
    <row r="207" ht="75" customHeight="1" s="76">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row>
    <row r="208" ht="75" customHeight="1" s="76">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row>
    <row r="209" ht="75" customHeight="1" s="76">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row>
    <row r="210" ht="75" customHeight="1" s="76">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row>
    <row r="211" ht="75" customHeight="1" s="76">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row>
    <row r="212" ht="75" customHeight="1" s="76">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row>
    <row r="213" ht="75" customHeight="1" s="76">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row>
    <row r="214" ht="75" customHeight="1" s="76">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row>
    <row r="215" ht="75" customHeight="1" s="76">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row>
    <row r="216" ht="75" customHeight="1" s="7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row>
    <row r="217" ht="75" customHeight="1" s="76">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row>
    <row r="218" ht="75" customHeight="1" s="76">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row>
    <row r="219" ht="75" customHeight="1" s="76">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row>
    <row r="220" ht="75" customHeight="1" s="76">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row>
    <row r="221" ht="75" customHeight="1" s="76">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row>
    <row r="222" ht="75" customHeight="1" s="76">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row>
    <row r="223" ht="75" customHeight="1" s="76">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row>
    <row r="224" ht="75" customHeight="1" s="76">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row>
    <row r="225" ht="75" customHeight="1" s="76">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row>
    <row r="226" ht="75" customHeight="1" s="7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row>
    <row r="227" ht="75" customHeight="1" s="76">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row>
    <row r="228" ht="75" customHeight="1" s="76">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row>
    <row r="229" ht="75" customHeight="1" s="76">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row>
    <row r="230" ht="75" customHeight="1" s="76">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row>
    <row r="231" ht="75" customHeight="1" s="76">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row>
    <row r="232" ht="75" customHeight="1" s="76">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row>
    <row r="233" ht="75" customHeight="1" s="76">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row>
    <row r="234" ht="75" customHeight="1" s="76">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row>
    <row r="235" ht="75" customHeight="1" s="76">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row>
    <row r="236" ht="75" customHeight="1" s="7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row>
    <row r="237" ht="75" customHeight="1" s="76">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row>
    <row r="238" ht="75" customHeight="1" s="76">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row>
    <row r="239" ht="75" customHeight="1" s="76">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row>
    <row r="240" ht="75" customHeight="1" s="76">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row>
    <row r="241" ht="75" customHeight="1" s="76">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row>
    <row r="242" ht="75" customHeight="1" s="76">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row>
    <row r="243" ht="75" customHeight="1" s="76">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row>
    <row r="244" ht="75" customHeight="1" s="76">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row>
    <row r="245" ht="75" customHeight="1" s="76">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row>
    <row r="246" ht="75" customHeight="1" s="7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row>
    <row r="247" ht="75" customHeight="1" s="76">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row>
    <row r="248" ht="75" customHeight="1" s="76">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row>
    <row r="249" ht="75" customHeight="1" s="76">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row>
    <row r="250" ht="75" customHeight="1" s="76">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row>
    <row r="251" ht="75" customHeight="1" s="76">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row>
    <row r="252" ht="75" customHeight="1" s="76">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row>
    <row r="253" ht="75" customHeight="1" s="76">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row>
    <row r="254" ht="75" customHeight="1" s="76">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row>
    <row r="255" ht="75" customHeight="1" s="76">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row>
    <row r="256" ht="75" customHeight="1" s="7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row>
    <row r="257" ht="75" customHeight="1" s="76">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row>
    <row r="258" ht="75" customHeight="1" s="76">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row>
    <row r="259" ht="75" customHeight="1" s="76">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row>
    <row r="260" ht="75" customHeight="1" s="76">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row>
    <row r="261" ht="75" customHeight="1" s="76">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row>
    <row r="262" ht="75" customHeight="1" s="76">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row>
    <row r="263" ht="75" customHeight="1" s="76">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row>
    <row r="264" ht="75" customHeight="1" s="76">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row>
    <row r="265" ht="75" customHeight="1" s="76">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row>
    <row r="266" ht="75" customHeight="1" s="7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row>
    <row r="267" ht="75" customHeight="1" s="76">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row>
    <row r="268" ht="75" customHeight="1" s="76">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row>
    <row r="269" ht="75" customHeight="1" s="76">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row>
    <row r="270" ht="75" customHeight="1" s="76">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row>
    <row r="271" ht="75" customHeight="1" s="76">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row>
    <row r="272" ht="75" customHeight="1" s="76">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row>
    <row r="273" ht="75" customHeight="1" s="76">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row>
    <row r="274" ht="75" customHeight="1" s="76">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row>
    <row r="275" ht="75" customHeight="1" s="76">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row>
    <row r="276" ht="75" customHeight="1" s="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row>
    <row r="277" ht="75" customHeight="1" s="76">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row>
    <row r="278" ht="75" customHeight="1" s="76">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row>
    <row r="279" ht="75" customHeight="1" s="76">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row>
    <row r="280" ht="75" customHeight="1" s="76">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row>
    <row r="281" ht="75" customHeight="1" s="76">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row>
    <row r="282" ht="75" customHeight="1" s="76">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row>
    <row r="283" ht="75" customHeight="1" s="76">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row>
    <row r="284" ht="75" customHeight="1" s="76">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row>
    <row r="285" ht="75" customHeight="1" s="76">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row>
    <row r="286" ht="75" customHeight="1" s="7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row>
    <row r="287" ht="75" customHeight="1" s="76">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row>
    <row r="288" ht="75" customHeight="1" s="76">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row>
    <row r="289" ht="75" customHeight="1" s="76">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row>
    <row r="290" ht="75" customHeight="1" s="76">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row>
    <row r="291" ht="75" customHeight="1" s="76">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row>
    <row r="292" ht="75" customHeight="1" s="76">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row>
    <row r="293" ht="75" customHeight="1" s="76">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row>
    <row r="294" ht="75" customHeight="1" s="76">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row>
    <row r="295" ht="75" customHeight="1" s="76">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row>
    <row r="296" ht="75" customHeight="1" s="7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row>
    <row r="297" ht="75" customHeight="1" s="76">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row>
    <row r="298" ht="75" customHeight="1" s="76">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row>
    <row r="299" ht="75" customHeight="1" s="76">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row>
    <row r="300" ht="75" customHeight="1" s="76">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row>
    <row r="301" ht="75" customHeight="1" s="76">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row>
    <row r="302" ht="75" customHeight="1" s="76">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row>
    <row r="303" ht="75" customHeight="1" s="76">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row>
    <row r="304" ht="75" customHeight="1" s="76">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row>
    <row r="305" ht="75" customHeight="1" s="76">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row>
    <row r="306" ht="75" customHeight="1" s="7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row>
    <row r="307" ht="75" customHeight="1" s="76">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74" t="n"/>
      <c r="S975" s="74" t="n"/>
      <c r="T975" s="21" t="n"/>
      <c r="U975" s="21" t="n"/>
      <c r="V975" s="21" t="n"/>
      <c r="W975" s="21" t="n"/>
      <c r="X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74" t="n"/>
      <c r="S976" s="74" t="n"/>
      <c r="T976" s="21" t="n"/>
      <c r="U976" s="21" t="n"/>
      <c r="V976" s="21" t="n"/>
      <c r="W976" s="21" t="n"/>
      <c r="X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74" t="n"/>
      <c r="S977" s="74" t="n"/>
      <c r="T977" s="21" t="n"/>
      <c r="U977" s="21" t="n"/>
      <c r="V977" s="21" t="n"/>
      <c r="W977" s="21" t="n"/>
      <c r="X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74" t="n"/>
      <c r="S978" s="74" t="n"/>
      <c r="T978" s="21" t="n"/>
      <c r="U978" s="21" t="n"/>
      <c r="V978" s="21" t="n"/>
      <c r="W978" s="21" t="n"/>
      <c r="X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74" t="n"/>
      <c r="S979" s="74" t="n"/>
      <c r="T979" s="21" t="n"/>
      <c r="U979" s="21" t="n"/>
      <c r="V979" s="21" t="n"/>
      <c r="W979" s="21" t="n"/>
      <c r="X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74" t="n"/>
      <c r="S980" s="74" t="n"/>
      <c r="T980" s="21" t="n"/>
      <c r="U980" s="21" t="n"/>
      <c r="V980" s="21" t="n"/>
      <c r="W980" s="21" t="n"/>
      <c r="X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74" t="n"/>
      <c r="S981" s="74" t="n"/>
      <c r="T981" s="21" t="n"/>
      <c r="U981" s="21" t="n"/>
      <c r="V981" s="21" t="n"/>
      <c r="W981" s="21" t="n"/>
      <c r="X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74" t="n"/>
      <c r="S982" s="74" t="n"/>
      <c r="T982" s="21" t="n"/>
      <c r="U982" s="21" t="n"/>
      <c r="V982" s="21" t="n"/>
      <c r="W982" s="21" t="n"/>
      <c r="X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74" t="n"/>
      <c r="S983" s="74" t="n"/>
      <c r="T983" s="21" t="n"/>
      <c r="U983" s="21" t="n"/>
      <c r="V983" s="21" t="n"/>
      <c r="W983" s="21" t="n"/>
      <c r="X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74" t="n"/>
      <c r="S984" s="74" t="n"/>
      <c r="T984" s="21" t="n"/>
      <c r="U984" s="21" t="n"/>
      <c r="V984" s="21" t="n"/>
      <c r="W984" s="21" t="n"/>
      <c r="X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74" t="n"/>
      <c r="S985" s="74" t="n"/>
      <c r="T985" s="21" t="n"/>
      <c r="U985" s="21" t="n"/>
      <c r="V985" s="21" t="n"/>
      <c r="W985" s="21" t="n"/>
      <c r="X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74" t="n"/>
      <c r="S986" s="74" t="n"/>
      <c r="T986" s="21" t="n"/>
      <c r="U986" s="21" t="n"/>
      <c r="V986" s="21" t="n"/>
      <c r="W986" s="21" t="n"/>
      <c r="X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74" t="n"/>
      <c r="S987" s="74" t="n"/>
      <c r="T987" s="21" t="n"/>
      <c r="U987" s="21" t="n"/>
      <c r="V987" s="21" t="n"/>
      <c r="W987" s="21" t="n"/>
      <c r="X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74" t="n"/>
      <c r="S988" s="74" t="n"/>
      <c r="T988" s="21" t="n"/>
      <c r="U988" s="21" t="n"/>
      <c r="V988" s="21" t="n"/>
      <c r="W988" s="21" t="n"/>
      <c r="X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74" t="n"/>
      <c r="S989" s="74" t="n"/>
      <c r="T989" s="21" t="n"/>
      <c r="U989" s="21" t="n"/>
      <c r="V989" s="21" t="n"/>
      <c r="W989" s="21" t="n"/>
      <c r="X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74" t="n"/>
      <c r="S990" s="74" t="n"/>
      <c r="T990" s="21" t="n"/>
      <c r="U990" s="21" t="n"/>
      <c r="V990" s="21" t="n"/>
      <c r="W990" s="21" t="n"/>
      <c r="X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74" t="n"/>
      <c r="S991" s="74" t="n"/>
      <c r="T991" s="21" t="n"/>
      <c r="U991" s="21" t="n"/>
      <c r="V991" s="21" t="n"/>
      <c r="W991" s="21" t="n"/>
      <c r="X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74" t="n"/>
      <c r="S992" s="74" t="n"/>
      <c r="T992" s="21" t="n"/>
      <c r="U992" s="21" t="n"/>
      <c r="V992" s="21" t="n"/>
      <c r="W992" s="21" t="n"/>
      <c r="X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74" t="n"/>
      <c r="S993" s="74" t="n"/>
      <c r="T993" s="21" t="n"/>
      <c r="U993" s="21" t="n"/>
      <c r="V993" s="21" t="n"/>
      <c r="W993" s="21" t="n"/>
      <c r="X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74" t="n"/>
      <c r="S994" s="74" t="n"/>
      <c r="T994" s="21" t="n"/>
      <c r="U994" s="21" t="n"/>
      <c r="V994" s="21" t="n"/>
      <c r="W994" s="21" t="n"/>
      <c r="X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74" t="n"/>
      <c r="S995" s="74" t="n"/>
      <c r="T995" s="21" t="n"/>
      <c r="U995" s="21" t="n"/>
      <c r="V995" s="21" t="n"/>
      <c r="W995" s="21" t="n"/>
      <c r="X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74" t="n"/>
      <c r="S996" s="74" t="n"/>
      <c r="T996" s="21" t="n"/>
      <c r="U996" s="21" t="n"/>
      <c r="V996" s="21" t="n"/>
      <c r="W996" s="21" t="n"/>
      <c r="X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74" t="n"/>
      <c r="S997" s="74" t="n"/>
      <c r="T997" s="21" t="n"/>
      <c r="U997" s="21" t="n"/>
      <c r="V997" s="21" t="n"/>
      <c r="W997" s="21" t="n"/>
      <c r="X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74" t="n"/>
      <c r="S998" s="74" t="n"/>
      <c r="T998" s="21" t="n"/>
      <c r="U998" s="21" t="n"/>
      <c r="V998" s="21" t="n"/>
      <c r="W998" s="21" t="n"/>
      <c r="X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74" t="n"/>
      <c r="S999" s="74" t="n"/>
      <c r="T999" s="21" t="n"/>
      <c r="U999" s="21" t="n"/>
      <c r="V999" s="21" t="n"/>
      <c r="W999" s="21" t="n"/>
      <c r="X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74" t="n"/>
      <c r="S1000" s="74" t="n"/>
      <c r="T1000" s="21" t="n"/>
      <c r="U1000" s="21" t="n"/>
      <c r="V1000" s="21" t="n"/>
      <c r="W1000" s="21" t="n"/>
      <c r="X1000" s="21" t="n"/>
    </row>
    <row r="1001">
      <c r="A1001" s="21" t="n"/>
      <c r="B1001" s="21" t="n"/>
      <c r="C1001" s="21" t="n"/>
      <c r="D1001" s="21" t="n"/>
      <c r="E1001" s="21" t="n"/>
      <c r="F1001" s="21" t="n"/>
      <c r="G1001" s="21" t="n"/>
      <c r="H1001" s="21" t="n"/>
      <c r="I1001" s="21" t="n"/>
      <c r="J1001" s="21" t="n"/>
      <c r="K1001" s="21" t="n"/>
      <c r="L1001" s="21" t="n"/>
      <c r="M1001" s="21" t="n"/>
      <c r="N1001" s="21" t="n"/>
      <c r="O1001" s="21" t="n"/>
      <c r="P1001" s="21" t="n"/>
      <c r="Q1001" s="21" t="n"/>
      <c r="R1001" s="74" t="n"/>
      <c r="S1001" s="74" t="n"/>
      <c r="T1001" s="21" t="n"/>
      <c r="U1001" s="21" t="n"/>
      <c r="V1001" s="21" t="n"/>
      <c r="W1001" s="21" t="n"/>
      <c r="X1001" s="21" t="n"/>
    </row>
    <row r="1002">
      <c r="A1002" s="21" t="n"/>
      <c r="B1002" s="21" t="n"/>
      <c r="C1002" s="21" t="n"/>
      <c r="D1002" s="21" t="n"/>
      <c r="E1002" s="21" t="n"/>
      <c r="F1002" s="21" t="n"/>
      <c r="G1002" s="21" t="n"/>
      <c r="H1002" s="21" t="n"/>
      <c r="I1002" s="21" t="n"/>
      <c r="J1002" s="21" t="n"/>
      <c r="K1002" s="21" t="n"/>
      <c r="L1002" s="21" t="n"/>
      <c r="M1002" s="21" t="n"/>
      <c r="N1002" s="21" t="n"/>
      <c r="O1002" s="21" t="n"/>
      <c r="P1002" s="21" t="n"/>
      <c r="Q1002" s="21" t="n"/>
      <c r="R1002" s="74" t="n"/>
      <c r="S1002" s="74" t="n"/>
      <c r="T1002" s="21" t="n"/>
      <c r="U1002" s="21" t="n"/>
      <c r="V1002" s="21" t="n"/>
      <c r="W1002" s="21" t="n"/>
      <c r="X1002" s="21" t="n"/>
    </row>
    <row r="1003">
      <c r="A1003" s="21" t="n"/>
      <c r="B1003" s="21" t="n"/>
      <c r="C1003" s="21" t="n"/>
      <c r="D1003" s="21" t="n"/>
      <c r="E1003" s="21" t="n"/>
      <c r="F1003" s="21" t="n"/>
      <c r="G1003" s="21" t="n"/>
      <c r="H1003" s="21" t="n"/>
      <c r="I1003" s="21" t="n"/>
      <c r="J1003" s="21" t="n"/>
      <c r="K1003" s="21" t="n"/>
      <c r="L1003" s="21" t="n"/>
      <c r="M1003" s="21" t="n"/>
      <c r="N1003" s="21" t="n"/>
      <c r="O1003" s="21" t="n"/>
      <c r="P1003" s="21" t="n"/>
      <c r="Q1003" s="21" t="n"/>
      <c r="R1003" s="74" t="n"/>
      <c r="S1003" s="74" t="n"/>
      <c r="T1003" s="21" t="n"/>
      <c r="U1003" s="21" t="n"/>
      <c r="V1003" s="21" t="n"/>
      <c r="W1003" s="21" t="n"/>
      <c r="X1003" s="21" t="n"/>
    </row>
    <row r="1004">
      <c r="A1004" s="21" t="n"/>
      <c r="B1004" s="21" t="n"/>
      <c r="C1004" s="21" t="n"/>
      <c r="D1004" s="21" t="n"/>
      <c r="E1004" s="21" t="n"/>
      <c r="F1004" s="21" t="n"/>
      <c r="G1004" s="21" t="n"/>
      <c r="H1004" s="21" t="n"/>
      <c r="I1004" s="21" t="n"/>
      <c r="J1004" s="21" t="n"/>
      <c r="K1004" s="21" t="n"/>
      <c r="L1004" s="21" t="n"/>
      <c r="M1004" s="21" t="n"/>
      <c r="N1004" s="21" t="n"/>
      <c r="O1004" s="21" t="n"/>
      <c r="P1004" s="21" t="n"/>
      <c r="Q1004" s="21" t="n"/>
      <c r="R1004" s="74" t="n"/>
      <c r="S1004" s="74" t="n"/>
      <c r="T1004" s="21" t="n"/>
      <c r="U1004" s="21" t="n"/>
      <c r="V1004" s="21" t="n"/>
      <c r="W1004" s="21" t="n"/>
      <c r="X1004" s="21" t="n"/>
    </row>
    <row r="1005">
      <c r="A1005" s="21" t="n"/>
      <c r="B1005" s="21" t="n"/>
      <c r="C1005" s="21" t="n"/>
      <c r="D1005" s="21" t="n"/>
      <c r="E1005" s="21" t="n"/>
      <c r="F1005" s="21" t="n"/>
      <c r="G1005" s="21" t="n"/>
      <c r="H1005" s="21" t="n"/>
      <c r="I1005" s="21" t="n"/>
      <c r="J1005" s="21" t="n"/>
      <c r="K1005" s="21" t="n"/>
      <c r="L1005" s="21" t="n"/>
      <c r="M1005" s="21" t="n"/>
      <c r="N1005" s="21" t="n"/>
      <c r="O1005" s="21" t="n"/>
      <c r="P1005" s="21" t="n"/>
      <c r="Q1005" s="21" t="n"/>
      <c r="R1005" s="74" t="n"/>
      <c r="S1005" s="74" t="n"/>
      <c r="T1005" s="21" t="n"/>
      <c r="U1005" s="21" t="n"/>
      <c r="V1005" s="21" t="n"/>
      <c r="W1005" s="21" t="n"/>
      <c r="X1005" s="21" t="n"/>
    </row>
    <row r="1006">
      <c r="A1006" s="21" t="n"/>
      <c r="B1006" s="21" t="n"/>
      <c r="C1006" s="21" t="n"/>
      <c r="D1006" s="21" t="n"/>
      <c r="E1006" s="21" t="n"/>
      <c r="F1006" s="21" t="n"/>
      <c r="G1006" s="21" t="n"/>
      <c r="H1006" s="21" t="n"/>
      <c r="I1006" s="21" t="n"/>
      <c r="J1006" s="21" t="n"/>
      <c r="K1006" s="21" t="n"/>
      <c r="L1006" s="21" t="n"/>
      <c r="M1006" s="21" t="n"/>
      <c r="N1006" s="21" t="n"/>
      <c r="O1006" s="21" t="n"/>
      <c r="P1006" s="21" t="n"/>
      <c r="Q1006" s="21" t="n"/>
      <c r="R1006" s="74" t="n"/>
      <c r="S1006" s="74" t="n"/>
      <c r="T1006" s="21" t="n"/>
      <c r="U1006" s="21" t="n"/>
      <c r="V1006" s="21" t="n"/>
      <c r="W1006" s="21" t="n"/>
      <c r="X1006" s="21" t="n"/>
    </row>
    <row r="1007">
      <c r="A1007" s="21" t="n"/>
      <c r="B1007" s="21" t="n"/>
      <c r="C1007" s="21" t="n"/>
      <c r="D1007" s="21" t="n"/>
      <c r="E1007" s="21" t="n"/>
      <c r="F1007" s="21" t="n"/>
      <c r="G1007" s="21" t="n"/>
      <c r="H1007" s="21" t="n"/>
      <c r="I1007" s="21" t="n"/>
      <c r="J1007" s="21" t="n"/>
      <c r="K1007" s="21" t="n"/>
      <c r="L1007" s="21" t="n"/>
      <c r="M1007" s="21" t="n"/>
      <c r="N1007" s="21" t="n"/>
      <c r="O1007" s="21" t="n"/>
      <c r="P1007" s="21" t="n"/>
      <c r="Q1007" s="21" t="n"/>
      <c r="R1007" s="74" t="n"/>
      <c r="S1007" s="74" t="n"/>
      <c r="T1007" s="21" t="n"/>
      <c r="U1007" s="21" t="n"/>
      <c r="V1007" s="21" t="n"/>
      <c r="W1007" s="21" t="n"/>
      <c r="X1007" s="21" t="n"/>
    </row>
    <row r="1008">
      <c r="A1008" s="21" t="n"/>
      <c r="B1008" s="21" t="n"/>
      <c r="C1008" s="21" t="n"/>
      <c r="D1008" s="21" t="n"/>
      <c r="E1008" s="21" t="n"/>
      <c r="F1008" s="21" t="n"/>
      <c r="G1008" s="21" t="n"/>
      <c r="H1008" s="21" t="n"/>
      <c r="I1008" s="21" t="n"/>
      <c r="J1008" s="21" t="n"/>
      <c r="K1008" s="21" t="n"/>
      <c r="L1008" s="21" t="n"/>
      <c r="M1008" s="21" t="n"/>
      <c r="N1008" s="21" t="n"/>
      <c r="O1008" s="21" t="n"/>
      <c r="P1008" s="21" t="n"/>
      <c r="Q1008" s="21" t="n"/>
      <c r="T1008" s="21" t="n"/>
      <c r="U1008" s="21" t="n"/>
      <c r="V1008" s="21" t="n"/>
      <c r="W1008" s="21" t="n"/>
      <c r="X1008" s="21" t="n"/>
    </row>
    <row r="1009">
      <c r="A1009" s="21" t="n"/>
      <c r="B1009" s="21" t="n"/>
      <c r="C1009" s="21" t="n"/>
      <c r="D1009" s="21" t="n"/>
      <c r="E1009" s="21" t="n"/>
      <c r="F1009" s="21" t="n"/>
      <c r="G1009" s="21" t="n"/>
      <c r="H1009" s="21" t="n"/>
      <c r="I1009" s="21" t="n"/>
      <c r="J1009" s="21" t="n"/>
      <c r="K1009" s="21" t="n"/>
      <c r="L1009" s="21" t="n"/>
      <c r="M1009" s="21" t="n"/>
      <c r="N1009" s="21" t="n"/>
      <c r="O1009" s="21" t="n"/>
      <c r="P1009" s="21" t="n"/>
      <c r="Q1009" s="21" t="n"/>
      <c r="T1009" s="21" t="n"/>
      <c r="U1009" s="21" t="n"/>
      <c r="V1009" s="21" t="n"/>
      <c r="W1009" s="21" t="n"/>
      <c r="X1009" s="21" t="n"/>
    </row>
    <row r="1010">
      <c r="A1010" s="21" t="n"/>
      <c r="B1010" s="21" t="n"/>
      <c r="C1010" s="21" t="n"/>
      <c r="D1010" s="21" t="n"/>
      <c r="E1010" s="21" t="n"/>
      <c r="F1010" s="21" t="n"/>
      <c r="G1010" s="21" t="n"/>
      <c r="H1010" s="21" t="n"/>
      <c r="I1010" s="21" t="n"/>
      <c r="J1010" s="21" t="n"/>
      <c r="K1010" s="21" t="n"/>
      <c r="L1010" s="21" t="n"/>
      <c r="M1010" s="21" t="n"/>
      <c r="N1010" s="21" t="n"/>
      <c r="O1010" s="21" t="n"/>
      <c r="P1010" s="21" t="n"/>
      <c r="Q1010" s="21" t="n"/>
      <c r="T1010" s="21" t="n"/>
      <c r="U1010" s="21" t="n"/>
      <c r="V1010" s="21" t="n"/>
      <c r="W1010" s="21" t="n"/>
      <c r="X1010" s="21" t="n"/>
    </row>
    <row r="1011">
      <c r="A1011" s="21" t="n"/>
      <c r="B1011" s="21" t="n"/>
      <c r="C1011" s="21" t="n"/>
      <c r="D1011" s="21" t="n"/>
      <c r="E1011" s="21" t="n"/>
      <c r="F1011" s="21" t="n"/>
      <c r="G1011" s="21" t="n"/>
      <c r="H1011" s="21" t="n"/>
      <c r="I1011" s="21" t="n"/>
      <c r="J1011" s="21" t="n"/>
      <c r="K1011" s="21" t="n"/>
      <c r="L1011" s="21" t="n"/>
      <c r="M1011" s="21" t="n"/>
      <c r="N1011" s="21" t="n"/>
      <c r="O1011" s="21" t="n"/>
      <c r="P1011" s="21" t="n"/>
      <c r="Q1011" s="21" t="n"/>
      <c r="T1011" s="21" t="n"/>
      <c r="U1011" s="21" t="n"/>
      <c r="V1011" s="21" t="n"/>
      <c r="W1011" s="21" t="n"/>
      <c r="X1011" s="21" t="n"/>
    </row>
    <row r="1012">
      <c r="A1012" s="21" t="n"/>
      <c r="B1012" s="21" t="n"/>
      <c r="C1012" s="21" t="n"/>
      <c r="D1012" s="21" t="n"/>
      <c r="E1012" s="21" t="n"/>
      <c r="F1012" s="21" t="n"/>
      <c r="G1012" s="21" t="n"/>
      <c r="H1012" s="21" t="n"/>
      <c r="I1012" s="21" t="n"/>
      <c r="J1012" s="21" t="n"/>
      <c r="K1012" s="21" t="n"/>
      <c r="L1012" s="21" t="n"/>
      <c r="M1012" s="21" t="n"/>
      <c r="N1012" s="21" t="n"/>
      <c r="O1012" s="21" t="n"/>
      <c r="P1012" s="21" t="n"/>
      <c r="Q1012" s="21" t="n"/>
      <c r="T1012" s="21" t="n"/>
      <c r="U1012" s="21" t="n"/>
      <c r="V1012" s="21" t="n"/>
      <c r="W1012" s="21" t="n"/>
      <c r="X1012" s="21" t="n"/>
    </row>
    <row r="1013">
      <c r="A1013" s="21" t="n"/>
      <c r="B1013" s="21" t="n"/>
      <c r="C1013" s="21" t="n"/>
      <c r="D1013" s="21" t="n"/>
      <c r="E1013" s="21" t="n"/>
      <c r="F1013" s="21" t="n"/>
      <c r="G1013" s="21" t="n"/>
      <c r="H1013" s="21" t="n"/>
      <c r="I1013" s="21" t="n"/>
      <c r="J1013" s="21" t="n"/>
      <c r="K1013" s="21" t="n"/>
      <c r="L1013" s="21" t="n"/>
      <c r="M1013" s="21" t="n"/>
      <c r="N1013" s="21" t="n"/>
      <c r="O1013" s="21" t="n"/>
      <c r="P1013" s="21" t="n"/>
      <c r="Q1013" s="21" t="n"/>
      <c r="T1013" s="21" t="n"/>
      <c r="U1013" s="21" t="n"/>
      <c r="V1013" s="21" t="n"/>
      <c r="W1013" s="21" t="n"/>
      <c r="X1013" s="21" t="n"/>
    </row>
    <row r="1014">
      <c r="A1014" s="21" t="n"/>
      <c r="B1014" s="21" t="n"/>
      <c r="C1014" s="21" t="n"/>
      <c r="D1014" s="21" t="n"/>
      <c r="E1014" s="21" t="n"/>
      <c r="F1014" s="21" t="n"/>
      <c r="G1014" s="21" t="n"/>
      <c r="H1014" s="21" t="n"/>
      <c r="I1014" s="21" t="n"/>
      <c r="J1014" s="21" t="n"/>
      <c r="K1014" s="21" t="n"/>
      <c r="L1014" s="21" t="n"/>
      <c r="M1014" s="21" t="n"/>
      <c r="N1014" s="21" t="n"/>
      <c r="O1014" s="21" t="n"/>
      <c r="P1014" s="21" t="n"/>
      <c r="Q1014" s="21" t="n"/>
      <c r="T1014" s="21" t="n"/>
      <c r="U1014" s="21" t="n"/>
      <c r="V1014" s="21" t="n"/>
      <c r="W1014" s="21" t="n"/>
      <c r="X1014" s="21" t="n"/>
    </row>
    <row r="1015">
      <c r="A1015" s="21" t="n"/>
      <c r="B1015" s="21" t="n"/>
      <c r="C1015" s="21" t="n"/>
      <c r="D1015" s="21" t="n"/>
      <c r="E1015" s="21" t="n"/>
      <c r="F1015" s="21" t="n"/>
      <c r="G1015" s="21" t="n"/>
      <c r="H1015" s="21" t="n"/>
      <c r="I1015" s="21" t="n"/>
      <c r="J1015" s="21" t="n"/>
      <c r="K1015" s="21" t="n"/>
      <c r="L1015" s="21" t="n"/>
      <c r="M1015" s="21" t="n"/>
      <c r="N1015" s="21" t="n"/>
      <c r="O1015" s="21" t="n"/>
      <c r="P1015" s="21" t="n"/>
      <c r="Q1015" s="21" t="n"/>
      <c r="T1015" s="21" t="n"/>
      <c r="U1015" s="21" t="n"/>
      <c r="V1015" s="21" t="n"/>
      <c r="W1015" s="21" t="n"/>
      <c r="X1015" s="21" t="n"/>
    </row>
    <row r="1016">
      <c r="A1016" s="21" t="n"/>
      <c r="B1016" s="21" t="n"/>
      <c r="C1016" s="21" t="n"/>
      <c r="D1016" s="21" t="n"/>
      <c r="E1016" s="21" t="n"/>
      <c r="F1016" s="21" t="n"/>
      <c r="G1016" s="21" t="n"/>
      <c r="H1016" s="21" t="n"/>
      <c r="I1016" s="21" t="n"/>
      <c r="J1016" s="21" t="n"/>
      <c r="K1016" s="21" t="n"/>
      <c r="L1016" s="21" t="n"/>
      <c r="M1016" s="21" t="n"/>
      <c r="N1016" s="21" t="n"/>
      <c r="O1016" s="21" t="n"/>
      <c r="P1016" s="21" t="n"/>
      <c r="Q1016" s="21" t="n"/>
      <c r="T1016" s="21" t="n"/>
      <c r="U1016" s="21" t="n"/>
      <c r="V1016" s="21" t="n"/>
      <c r="W1016" s="21" t="n"/>
      <c r="X1016" s="21" t="n"/>
    </row>
    <row r="1017">
      <c r="A1017" s="21" t="n"/>
      <c r="B1017" s="21" t="n"/>
      <c r="C1017" s="21" t="n"/>
      <c r="D1017" s="21" t="n"/>
      <c r="E1017" s="21" t="n"/>
      <c r="F1017" s="21" t="n"/>
      <c r="G1017" s="21" t="n"/>
      <c r="H1017" s="21" t="n"/>
      <c r="I1017" s="21" t="n"/>
      <c r="J1017" s="21" t="n"/>
      <c r="K1017" s="21" t="n"/>
      <c r="L1017" s="21" t="n"/>
      <c r="M1017" s="21" t="n"/>
      <c r="N1017" s="21" t="n"/>
      <c r="O1017" s="21" t="n"/>
      <c r="P1017" s="21" t="n"/>
      <c r="Q1017" s="21" t="n"/>
      <c r="T1017" s="21" t="n"/>
      <c r="U1017" s="21" t="n"/>
      <c r="V1017" s="21" t="n"/>
      <c r="W1017" s="21" t="n"/>
      <c r="X1017" s="21" t="n"/>
    </row>
    <row r="1018">
      <c r="A1018" s="21" t="n"/>
      <c r="B1018" s="21" t="n"/>
      <c r="C1018" s="21" t="n"/>
      <c r="D1018" s="21" t="n"/>
      <c r="E1018" s="21" t="n"/>
      <c r="F1018" s="21" t="n"/>
      <c r="G1018" s="21" t="n"/>
      <c r="H1018" s="21" t="n"/>
      <c r="I1018" s="21" t="n"/>
      <c r="J1018" s="21" t="n"/>
      <c r="K1018" s="21" t="n"/>
      <c r="L1018" s="21" t="n"/>
      <c r="M1018" s="21" t="n"/>
      <c r="N1018" s="21" t="n"/>
      <c r="O1018" s="21" t="n"/>
      <c r="P1018" s="21" t="n"/>
      <c r="Q1018" s="21" t="n"/>
      <c r="T1018" s="21" t="n"/>
      <c r="U1018" s="21" t="n"/>
      <c r="V1018" s="21" t="n"/>
      <c r="W1018" s="21" t="n"/>
      <c r="X1018" s="21" t="n"/>
    </row>
    <row r="1019">
      <c r="A1019" s="21" t="n"/>
      <c r="B1019" s="21" t="n"/>
      <c r="C1019" s="21" t="n"/>
      <c r="D1019" s="21" t="n"/>
      <c r="E1019" s="21" t="n"/>
      <c r="F1019" s="21" t="n"/>
      <c r="G1019" s="21" t="n"/>
      <c r="H1019" s="21" t="n"/>
      <c r="I1019" s="21" t="n"/>
      <c r="J1019" s="21" t="n"/>
      <c r="K1019" s="21" t="n"/>
      <c r="L1019" s="21" t="n"/>
      <c r="M1019" s="21" t="n"/>
      <c r="N1019" s="21" t="n"/>
      <c r="O1019" s="21" t="n"/>
      <c r="P1019" s="21" t="n"/>
      <c r="Q1019" s="21" t="n"/>
      <c r="T1019" s="21" t="n"/>
      <c r="U1019" s="21" t="n"/>
      <c r="V1019" s="21" t="n"/>
      <c r="W1019" s="21" t="n"/>
      <c r="X1019" s="21" t="n"/>
    </row>
    <row r="1020">
      <c r="A1020" s="21" t="n"/>
      <c r="B1020" s="21" t="n"/>
      <c r="C1020" s="21" t="n"/>
      <c r="D1020" s="21" t="n"/>
      <c r="E1020" s="21" t="n"/>
      <c r="F1020" s="21" t="n"/>
      <c r="G1020" s="21" t="n"/>
      <c r="H1020" s="21" t="n"/>
      <c r="I1020" s="21" t="n"/>
      <c r="J1020" s="21" t="n"/>
      <c r="K1020" s="21" t="n"/>
      <c r="L1020" s="21" t="n"/>
      <c r="M1020" s="21" t="n"/>
      <c r="N1020" s="21" t="n"/>
      <c r="O1020" s="21" t="n"/>
      <c r="P1020" s="21" t="n"/>
      <c r="Q1020" s="21" t="n"/>
      <c r="T1020" s="21" t="n"/>
      <c r="U1020" s="21" t="n"/>
      <c r="V1020" s="21" t="n"/>
      <c r="W1020" s="21" t="n"/>
      <c r="X1020" s="21" t="n"/>
    </row>
    <row r="1021">
      <c r="A1021" s="21" t="n"/>
      <c r="B1021" s="21" t="n"/>
      <c r="C1021" s="21" t="n"/>
      <c r="D1021" s="21" t="n"/>
      <c r="E1021" s="21" t="n"/>
      <c r="F1021" s="21" t="n"/>
      <c r="G1021" s="21" t="n"/>
      <c r="H1021" s="21" t="n"/>
      <c r="I1021" s="21" t="n"/>
      <c r="J1021" s="21" t="n"/>
      <c r="K1021" s="21" t="n"/>
      <c r="L1021" s="21" t="n"/>
      <c r="M1021" s="21" t="n"/>
      <c r="N1021" s="21" t="n"/>
      <c r="O1021" s="21" t="n"/>
      <c r="P1021" s="21" t="n"/>
      <c r="Q1021" s="21" t="n"/>
      <c r="T1021" s="21" t="n"/>
      <c r="U1021" s="21" t="n"/>
      <c r="V1021" s="21" t="n"/>
      <c r="W1021" s="21" t="n"/>
      <c r="X1021" s="21" t="n"/>
    </row>
    <row r="1022">
      <c r="A1022" s="21" t="n"/>
      <c r="B1022" s="21" t="n"/>
      <c r="C1022" s="21" t="n"/>
      <c r="D1022" s="21" t="n"/>
      <c r="E1022" s="21" t="n"/>
      <c r="F1022" s="21" t="n"/>
      <c r="G1022" s="21" t="n"/>
      <c r="H1022" s="21" t="n"/>
      <c r="I1022" s="21" t="n"/>
      <c r="J1022" s="21" t="n"/>
      <c r="K1022" s="21" t="n"/>
      <c r="L1022" s="21" t="n"/>
      <c r="M1022" s="21" t="n"/>
      <c r="N1022" s="21" t="n"/>
      <c r="O1022" s="21" t="n"/>
      <c r="P1022" s="21" t="n"/>
      <c r="Q1022" s="21" t="n"/>
      <c r="T1022" s="21" t="n"/>
      <c r="U1022" s="21" t="n"/>
      <c r="V1022" s="21" t="n"/>
      <c r="W1022" s="21" t="n"/>
      <c r="X1022" s="21" t="n"/>
    </row>
    <row r="1023">
      <c r="A1023" s="21" t="n"/>
      <c r="B1023" s="21" t="n"/>
      <c r="C1023" s="21" t="n"/>
      <c r="D1023" s="21" t="n"/>
      <c r="E1023" s="21" t="n"/>
      <c r="F1023" s="21" t="n"/>
      <c r="G1023" s="21" t="n"/>
      <c r="H1023" s="21" t="n"/>
      <c r="I1023" s="21" t="n"/>
      <c r="J1023" s="21" t="n"/>
      <c r="K1023" s="21" t="n"/>
      <c r="L1023" s="21" t="n"/>
      <c r="M1023" s="21" t="n"/>
      <c r="N1023" s="21" t="n"/>
      <c r="O1023" s="21" t="n"/>
      <c r="P1023" s="21" t="n"/>
      <c r="Q1023" s="21" t="n"/>
      <c r="T1023" s="21" t="n"/>
      <c r="U1023" s="21" t="n"/>
      <c r="V1023" s="21" t="n"/>
      <c r="W1023" s="21" t="n"/>
      <c r="X1023" s="21" t="n"/>
    </row>
    <row r="1024">
      <c r="A1024" s="21" t="n"/>
      <c r="B1024" s="21" t="n"/>
      <c r="C1024" s="21" t="n"/>
      <c r="D1024" s="21" t="n"/>
      <c r="E1024" s="21" t="n"/>
      <c r="F1024" s="21" t="n"/>
      <c r="G1024" s="21" t="n"/>
      <c r="H1024" s="21" t="n"/>
      <c r="I1024" s="21" t="n"/>
      <c r="J1024" s="21" t="n"/>
      <c r="K1024" s="21" t="n"/>
      <c r="L1024" s="21" t="n"/>
      <c r="M1024" s="21" t="n"/>
      <c r="N1024" s="21" t="n"/>
      <c r="O1024" s="21" t="n"/>
      <c r="P1024" s="21" t="n"/>
      <c r="Q1024" s="21" t="n"/>
      <c r="T1024" s="21" t="n"/>
      <c r="U1024" s="21" t="n"/>
      <c r="V1024" s="21" t="n"/>
      <c r="W1024" s="21" t="n"/>
      <c r="X1024" s="21" t="n"/>
    </row>
    <row r="1025">
      <c r="A1025" s="21" t="n"/>
      <c r="B1025" s="21" t="n"/>
      <c r="C1025" s="21" t="n"/>
      <c r="D1025" s="21" t="n"/>
      <c r="E1025" s="21" t="n"/>
      <c r="F1025" s="21" t="n"/>
      <c r="G1025" s="21" t="n"/>
      <c r="H1025" s="21" t="n"/>
      <c r="I1025" s="21" t="n"/>
      <c r="J1025" s="21" t="n"/>
      <c r="K1025" s="21" t="n"/>
      <c r="L1025" s="21" t="n"/>
      <c r="M1025" s="21" t="n"/>
      <c r="N1025" s="21" t="n"/>
      <c r="O1025" s="21" t="n"/>
      <c r="P1025" s="21" t="n"/>
      <c r="Q1025" s="21" t="n"/>
      <c r="T1025" s="21" t="n"/>
      <c r="U1025" s="21" t="n"/>
      <c r="V1025" s="21" t="n"/>
      <c r="W1025" s="21" t="n"/>
      <c r="X1025" s="21" t="n"/>
    </row>
    <row r="1026">
      <c r="A1026" s="21" t="n"/>
      <c r="B1026" s="21" t="n"/>
      <c r="C1026" s="21" t="n"/>
      <c r="D1026" s="21" t="n"/>
      <c r="E1026" s="21" t="n"/>
      <c r="F1026" s="21" t="n"/>
      <c r="G1026" s="21" t="n"/>
      <c r="H1026" s="21" t="n"/>
      <c r="I1026" s="21" t="n"/>
      <c r="J1026" s="21" t="n"/>
      <c r="K1026" s="21" t="n"/>
      <c r="L1026" s="21" t="n"/>
      <c r="M1026" s="21" t="n"/>
      <c r="N1026" s="21" t="n"/>
      <c r="O1026" s="21" t="n"/>
      <c r="P1026" s="21" t="n"/>
      <c r="Q1026" s="21" t="n"/>
      <c r="T1026" s="21" t="n"/>
      <c r="U1026" s="21" t="n"/>
      <c r="V1026" s="21" t="n"/>
      <c r="W1026" s="21" t="n"/>
      <c r="X1026" s="21" t="n"/>
    </row>
    <row r="1027">
      <c r="A1027" s="21" t="n"/>
      <c r="B1027" s="21" t="n"/>
      <c r="C1027" s="21" t="n"/>
      <c r="D1027" s="21" t="n"/>
      <c r="E1027" s="21" t="n"/>
      <c r="F1027" s="21" t="n"/>
      <c r="G1027" s="21" t="n"/>
      <c r="H1027" s="21" t="n"/>
      <c r="I1027" s="21" t="n"/>
      <c r="J1027" s="21" t="n"/>
      <c r="K1027" s="21" t="n"/>
      <c r="L1027" s="21" t="n"/>
      <c r="M1027" s="21" t="n"/>
      <c r="N1027" s="21" t="n"/>
      <c r="O1027" s="21" t="n"/>
      <c r="P1027" s="21" t="n"/>
      <c r="Q1027" s="21" t="n"/>
      <c r="T1027" s="21" t="n"/>
      <c r="U1027" s="21" t="n"/>
      <c r="V1027" s="21" t="n"/>
      <c r="W1027" s="21" t="n"/>
      <c r="X1027" s="21" t="n"/>
    </row>
    <row r="1028">
      <c r="A1028" s="21" t="n"/>
      <c r="B1028" s="21" t="n"/>
      <c r="C1028" s="21" t="n"/>
      <c r="D1028" s="21" t="n"/>
      <c r="E1028" s="21" t="n"/>
      <c r="F1028" s="21" t="n"/>
      <c r="G1028" s="21" t="n"/>
      <c r="H1028" s="21" t="n"/>
      <c r="I1028" s="21" t="n"/>
      <c r="J1028" s="21" t="n"/>
      <c r="K1028" s="21" t="n"/>
      <c r="L1028" s="21" t="n"/>
      <c r="M1028" s="21" t="n"/>
      <c r="N1028" s="21" t="n"/>
      <c r="O1028" s="21" t="n"/>
      <c r="P1028" s="21" t="n"/>
      <c r="Q1028" s="21" t="n"/>
      <c r="T1028" s="21" t="n"/>
      <c r="U1028" s="21" t="n"/>
      <c r="V1028" s="21" t="n"/>
      <c r="W1028" s="21" t="n"/>
      <c r="X1028" s="21" t="n"/>
    </row>
    <row r="1029">
      <c r="A1029" s="21" t="n"/>
      <c r="B1029" s="21" t="n"/>
      <c r="C1029" s="21" t="n"/>
      <c r="D1029" s="21" t="n"/>
      <c r="E1029" s="21" t="n"/>
      <c r="F1029" s="21" t="n"/>
      <c r="G1029" s="21" t="n"/>
      <c r="H1029" s="21" t="n"/>
      <c r="I1029" s="21" t="n"/>
      <c r="J1029" s="21" t="n"/>
      <c r="K1029" s="21" t="n"/>
      <c r="L1029" s="21" t="n"/>
      <c r="M1029" s="21" t="n"/>
      <c r="N1029" s="21" t="n"/>
      <c r="O1029" s="21" t="n"/>
      <c r="P1029" s="21" t="n"/>
      <c r="Q1029" s="21" t="n"/>
      <c r="T1029" s="21" t="n"/>
      <c r="U1029" s="21" t="n"/>
      <c r="V1029" s="21" t="n"/>
      <c r="W1029" s="21" t="n"/>
      <c r="X1029" s="21" t="n"/>
    </row>
    <row r="1030">
      <c r="A1030" s="21" t="n"/>
      <c r="B1030" s="21" t="n"/>
      <c r="C1030" s="21" t="n"/>
      <c r="D1030" s="21" t="n"/>
      <c r="E1030" s="21" t="n"/>
      <c r="F1030" s="21" t="n"/>
      <c r="G1030" s="21" t="n"/>
      <c r="H1030" s="21" t="n"/>
      <c r="I1030" s="21" t="n"/>
      <c r="J1030" s="21" t="n"/>
      <c r="K1030" s="21" t="n"/>
      <c r="L1030" s="21" t="n"/>
      <c r="M1030" s="21" t="n"/>
      <c r="N1030" s="21" t="n"/>
      <c r="O1030" s="21" t="n"/>
      <c r="P1030" s="21" t="n"/>
      <c r="Q1030" s="21" t="n"/>
      <c r="T1030" s="21" t="n"/>
      <c r="U1030" s="21" t="n"/>
      <c r="V1030" s="21" t="n"/>
      <c r="W1030" s="21" t="n"/>
      <c r="X1030" s="21" t="n"/>
    </row>
    <row r="1031">
      <c r="A1031" s="21" t="n"/>
      <c r="B1031" s="21" t="n"/>
      <c r="C1031" s="21" t="n"/>
      <c r="D1031" s="21" t="n"/>
      <c r="E1031" s="21" t="n"/>
      <c r="F1031" s="21" t="n"/>
      <c r="G1031" s="21" t="n"/>
      <c r="H1031" s="21" t="n"/>
      <c r="I1031" s="21" t="n"/>
      <c r="J1031" s="21" t="n"/>
      <c r="K1031" s="21" t="n"/>
      <c r="L1031" s="21" t="n"/>
      <c r="M1031" s="21" t="n"/>
      <c r="N1031" s="21" t="n"/>
      <c r="O1031" s="21" t="n"/>
      <c r="P1031" s="21" t="n"/>
      <c r="Q1031" s="21" t="n"/>
      <c r="T1031" s="21" t="n"/>
      <c r="U1031" s="21" t="n"/>
      <c r="V1031" s="21" t="n"/>
      <c r="W1031" s="21" t="n"/>
      <c r="X1031" s="21" t="n"/>
    </row>
    <row r="1032">
      <c r="A1032" s="21" t="n"/>
      <c r="B1032" s="21" t="n"/>
      <c r="C1032" s="21" t="n"/>
      <c r="D1032" s="21" t="n"/>
      <c r="E1032" s="21" t="n"/>
      <c r="F1032" s="21" t="n"/>
      <c r="G1032" s="21" t="n"/>
      <c r="H1032" s="21" t="n"/>
      <c r="I1032" s="21" t="n"/>
      <c r="J1032" s="21" t="n"/>
      <c r="K1032" s="21" t="n"/>
      <c r="L1032" s="21" t="n"/>
      <c r="M1032" s="21" t="n"/>
      <c r="N1032" s="21" t="n"/>
      <c r="O1032" s="21" t="n"/>
      <c r="P1032" s="21" t="n"/>
      <c r="Q1032" s="21" t="n"/>
      <c r="T1032" s="21" t="n"/>
      <c r="U1032" s="21" t="n"/>
      <c r="V1032" s="21" t="n"/>
      <c r="W1032" s="21" t="n"/>
      <c r="X1032" s="21" t="n"/>
    </row>
    <row r="1033">
      <c r="A1033" s="21" t="n"/>
      <c r="B1033" s="21" t="n"/>
      <c r="C1033" s="21" t="n"/>
      <c r="D1033" s="21" t="n"/>
      <c r="E1033" s="21" t="n"/>
      <c r="F1033" s="21" t="n"/>
      <c r="G1033" s="21" t="n"/>
      <c r="H1033" s="21" t="n"/>
      <c r="I1033" s="21" t="n"/>
      <c r="J1033" s="21" t="n"/>
      <c r="K1033" s="21" t="n"/>
      <c r="L1033" s="21" t="n"/>
      <c r="M1033" s="21" t="n"/>
      <c r="N1033" s="21" t="n"/>
      <c r="O1033" s="21" t="n"/>
      <c r="P1033" s="21" t="n"/>
      <c r="Q1033" s="21" t="n"/>
      <c r="T1033" s="21" t="n"/>
      <c r="U1033" s="21" t="n"/>
      <c r="V1033" s="21" t="n"/>
      <c r="W1033" s="21" t="n"/>
      <c r="X1033" s="21" t="n"/>
    </row>
    <row r="1034">
      <c r="A1034" s="21" t="n"/>
      <c r="B1034" s="21" t="n"/>
      <c r="C1034" s="21" t="n"/>
      <c r="D1034" s="21" t="n"/>
      <c r="E1034" s="21" t="n"/>
      <c r="F1034" s="21" t="n"/>
      <c r="G1034" s="21" t="n"/>
      <c r="H1034" s="21" t="n"/>
      <c r="I1034" s="21" t="n"/>
      <c r="J1034" s="21" t="n"/>
      <c r="K1034" s="21" t="n"/>
      <c r="L1034" s="21" t="n"/>
      <c r="M1034" s="21" t="n"/>
      <c r="N1034" s="21" t="n"/>
      <c r="O1034" s="21" t="n"/>
      <c r="P1034" s="21" t="n"/>
      <c r="Q1034" s="21" t="n"/>
      <c r="T1034" s="21" t="n"/>
      <c r="U1034" s="21" t="n"/>
      <c r="V1034" s="21" t="n"/>
      <c r="W1034" s="21" t="n"/>
      <c r="X1034" s="21" t="n"/>
    </row>
    <row r="1035">
      <c r="A1035" s="21" t="n"/>
      <c r="B1035" s="21" t="n"/>
      <c r="C1035" s="21" t="n"/>
      <c r="D1035" s="21" t="n"/>
      <c r="E1035" s="21" t="n"/>
      <c r="F1035" s="21" t="n"/>
      <c r="G1035" s="21" t="n"/>
      <c r="H1035" s="21" t="n"/>
      <c r="I1035" s="21" t="n"/>
      <c r="J1035" s="21" t="n"/>
      <c r="K1035" s="21" t="n"/>
      <c r="L1035" s="21" t="n"/>
      <c r="M1035" s="21" t="n"/>
      <c r="N1035" s="21" t="n"/>
      <c r="O1035" s="21" t="n"/>
      <c r="P1035" s="21" t="n"/>
      <c r="Q1035" s="21" t="n"/>
      <c r="T1035" s="21" t="n"/>
      <c r="U1035" s="21" t="n"/>
      <c r="V1035" s="21" t="n"/>
      <c r="W1035" s="21" t="n"/>
      <c r="X1035" s="21" t="n"/>
    </row>
    <row r="1036">
      <c r="A1036" s="21" t="n"/>
      <c r="B1036" s="21" t="n"/>
      <c r="C1036" s="21" t="n"/>
      <c r="D1036" s="21" t="n"/>
      <c r="E1036" s="21" t="n"/>
      <c r="F1036" s="21" t="n"/>
      <c r="G1036" s="21" t="n"/>
      <c r="H1036" s="21" t="n"/>
      <c r="I1036" s="21" t="n"/>
      <c r="J1036" s="21" t="n"/>
      <c r="K1036" s="21" t="n"/>
      <c r="L1036" s="21" t="n"/>
      <c r="M1036" s="21" t="n"/>
      <c r="N1036" s="21" t="n"/>
      <c r="O1036" s="21" t="n"/>
      <c r="P1036" s="21" t="n"/>
      <c r="Q1036" s="21" t="n"/>
      <c r="T1036" s="21" t="n"/>
      <c r="U1036" s="21" t="n"/>
      <c r="V1036" s="21" t="n"/>
      <c r="W1036" s="21" t="n"/>
      <c r="X1036" s="21" t="n"/>
    </row>
    <row r="1037">
      <c r="A1037" s="21" t="n"/>
      <c r="B1037" s="21" t="n"/>
      <c r="C1037" s="21" t="n"/>
      <c r="D1037" s="21" t="n"/>
      <c r="E1037" s="21" t="n"/>
      <c r="F1037" s="21" t="n"/>
      <c r="G1037" s="21" t="n"/>
      <c r="H1037" s="21" t="n"/>
      <c r="I1037" s="21" t="n"/>
      <c r="J1037" s="21" t="n"/>
      <c r="K1037" s="21" t="n"/>
      <c r="L1037" s="21" t="n"/>
      <c r="M1037" s="21" t="n"/>
      <c r="N1037" s="21" t="n"/>
      <c r="O1037" s="21" t="n"/>
      <c r="P1037" s="21" t="n"/>
      <c r="Q1037" s="21" t="n"/>
      <c r="T1037" s="21" t="n"/>
      <c r="U1037" s="21" t="n"/>
      <c r="V1037" s="21" t="n"/>
      <c r="W1037" s="21" t="n"/>
      <c r="X1037" s="21" t="n"/>
    </row>
    <row r="1038">
      <c r="A1038" s="21" t="n"/>
      <c r="B1038" s="21" t="n"/>
      <c r="C1038" s="21" t="n"/>
      <c r="D1038" s="21" t="n"/>
      <c r="E1038" s="21" t="n"/>
      <c r="F1038" s="21" t="n"/>
      <c r="G1038" s="21" t="n"/>
      <c r="H1038" s="21" t="n"/>
      <c r="I1038" s="21" t="n"/>
      <c r="J1038" s="21" t="n"/>
      <c r="K1038" s="21" t="n"/>
      <c r="L1038" s="21" t="n"/>
      <c r="M1038" s="21" t="n"/>
      <c r="N1038" s="21" t="n"/>
      <c r="O1038" s="21" t="n"/>
      <c r="P1038" s="21" t="n"/>
      <c r="Q1038" s="21" t="n"/>
      <c r="T1038" s="21" t="n"/>
      <c r="U1038" s="21" t="n"/>
      <c r="V1038" s="21" t="n"/>
      <c r="W1038" s="21" t="n"/>
      <c r="X1038" s="21" t="n"/>
    </row>
    <row r="1039">
      <c r="A1039" s="21" t="n"/>
      <c r="B1039" s="21" t="n"/>
      <c r="C1039" s="21" t="n"/>
      <c r="D1039" s="21" t="n"/>
      <c r="E1039" s="21" t="n"/>
      <c r="F1039" s="21" t="n"/>
      <c r="G1039" s="21" t="n"/>
      <c r="H1039" s="21" t="n"/>
      <c r="I1039" s="21" t="n"/>
      <c r="J1039" s="21" t="n"/>
      <c r="K1039" s="21" t="n"/>
      <c r="L1039" s="21" t="n"/>
      <c r="M1039" s="21" t="n"/>
      <c r="N1039" s="21" t="n"/>
      <c r="O1039" s="21" t="n"/>
      <c r="P1039" s="21" t="n"/>
      <c r="Q1039" s="21" t="n"/>
      <c r="T1039" s="21" t="n"/>
      <c r="U1039" s="21" t="n"/>
      <c r="V1039" s="21" t="n"/>
      <c r="W1039" s="21" t="n"/>
      <c r="X1039" s="21" t="n"/>
    </row>
    <row r="1040">
      <c r="A1040" s="21" t="n"/>
      <c r="B1040" s="21" t="n"/>
      <c r="C1040" s="21" t="n"/>
      <c r="D1040" s="21" t="n"/>
      <c r="E1040" s="21" t="n"/>
      <c r="F1040" s="21" t="n"/>
      <c r="G1040" s="21" t="n"/>
      <c r="H1040" s="21" t="n"/>
      <c r="I1040" s="21" t="n"/>
      <c r="J1040" s="21" t="n"/>
      <c r="K1040" s="21" t="n"/>
      <c r="L1040" s="21" t="n"/>
      <c r="M1040" s="21" t="n"/>
      <c r="N1040" s="21" t="n"/>
      <c r="O1040" s="21" t="n"/>
      <c r="P1040" s="21" t="n"/>
      <c r="Q1040" s="21" t="n"/>
      <c r="T1040" s="21" t="n"/>
      <c r="U1040" s="21" t="n"/>
      <c r="V1040" s="21" t="n"/>
      <c r="W1040" s="21" t="n"/>
      <c r="X1040" s="21" t="n"/>
    </row>
    <row r="1041">
      <c r="A1041" s="21" t="n"/>
      <c r="B1041" s="21" t="n"/>
      <c r="C1041" s="21" t="n"/>
      <c r="D1041" s="21" t="n"/>
      <c r="E1041" s="21" t="n"/>
      <c r="F1041" s="21" t="n"/>
      <c r="G1041" s="21" t="n"/>
      <c r="H1041" s="21" t="n"/>
      <c r="I1041" s="21" t="n"/>
      <c r="J1041" s="21" t="n"/>
      <c r="K1041" s="21" t="n"/>
      <c r="L1041" s="21" t="n"/>
      <c r="M1041" s="21" t="n"/>
      <c r="N1041" s="21" t="n"/>
      <c r="O1041" s="21" t="n"/>
      <c r="P1041" s="21" t="n"/>
      <c r="Q1041" s="21" t="n"/>
      <c r="T1041" s="21" t="n"/>
      <c r="U1041" s="21" t="n"/>
      <c r="V1041" s="21" t="n"/>
      <c r="W1041" s="21" t="n"/>
      <c r="X1041" s="21" t="n"/>
    </row>
    <row r="1042">
      <c r="A1042" s="21" t="n"/>
      <c r="B1042" s="21" t="n"/>
      <c r="C1042" s="21" t="n"/>
      <c r="D1042" s="21" t="n"/>
      <c r="E1042" s="21" t="n"/>
      <c r="F1042" s="21" t="n"/>
      <c r="G1042" s="21" t="n"/>
      <c r="H1042" s="21" t="n"/>
      <c r="I1042" s="21" t="n"/>
      <c r="J1042" s="21" t="n"/>
      <c r="K1042" s="21" t="n"/>
      <c r="L1042" s="21" t="n"/>
      <c r="M1042" s="21" t="n"/>
      <c r="N1042" s="21" t="n"/>
      <c r="O1042" s="21" t="n"/>
      <c r="P1042" s="21" t="n"/>
      <c r="Q1042" s="21" t="n"/>
      <c r="T1042" s="21" t="n"/>
      <c r="U1042" s="21" t="n"/>
      <c r="V1042" s="21" t="n"/>
      <c r="W1042" s="21" t="n"/>
      <c r="X1042" s="21" t="n"/>
    </row>
    <row r="1043">
      <c r="A1043" s="21" t="n"/>
      <c r="B1043" s="21" t="n"/>
      <c r="C1043" s="21" t="n"/>
      <c r="D1043" s="21" t="n"/>
      <c r="E1043" s="21" t="n"/>
      <c r="F1043" s="21" t="n"/>
      <c r="G1043" s="21" t="n"/>
      <c r="H1043" s="21" t="n"/>
      <c r="I1043" s="21" t="n"/>
      <c r="J1043" s="21" t="n"/>
      <c r="K1043" s="21" t="n"/>
      <c r="L1043" s="21" t="n"/>
      <c r="M1043" s="21" t="n"/>
      <c r="N1043" s="21" t="n"/>
      <c r="O1043" s="21" t="n"/>
      <c r="P1043" s="21" t="n"/>
      <c r="Q1043" s="21" t="n"/>
      <c r="T1043" s="21" t="n"/>
      <c r="U1043" s="21" t="n"/>
      <c r="V1043" s="21" t="n"/>
      <c r="W1043" s="21" t="n"/>
      <c r="X1043" s="21" t="n"/>
    </row>
    <row r="1044">
      <c r="A1044" s="21" t="n"/>
      <c r="B1044" s="21" t="n"/>
      <c r="C1044" s="21" t="n"/>
      <c r="D1044" s="21" t="n"/>
      <c r="E1044" s="21" t="n"/>
      <c r="F1044" s="21" t="n"/>
      <c r="G1044" s="21" t="n"/>
      <c r="H1044" s="21" t="n"/>
      <c r="I1044" s="21" t="n"/>
      <c r="J1044" s="21" t="n"/>
      <c r="K1044" s="21" t="n"/>
      <c r="L1044" s="21" t="n"/>
      <c r="M1044" s="21" t="n"/>
      <c r="N1044" s="21" t="n"/>
      <c r="O1044" s="21" t="n"/>
      <c r="P1044" s="21" t="n"/>
      <c r="Q1044" s="21" t="n"/>
      <c r="T1044" s="21" t="n"/>
      <c r="U1044" s="21" t="n"/>
      <c r="V1044" s="21" t="n"/>
      <c r="W1044" s="21" t="n"/>
      <c r="X1044" s="21" t="n"/>
    </row>
    <row r="1045">
      <c r="A1045" s="21" t="n"/>
      <c r="B1045" s="21" t="n"/>
      <c r="C1045" s="21" t="n"/>
      <c r="D1045" s="21" t="n"/>
      <c r="E1045" s="21" t="n"/>
      <c r="F1045" s="21" t="n"/>
      <c r="G1045" s="21" t="n"/>
      <c r="H1045" s="21" t="n"/>
      <c r="I1045" s="21" t="n"/>
      <c r="J1045" s="21" t="n"/>
      <c r="K1045" s="21" t="n"/>
      <c r="L1045" s="21" t="n"/>
      <c r="M1045" s="21" t="n"/>
      <c r="N1045" s="21" t="n"/>
      <c r="O1045" s="21" t="n"/>
      <c r="P1045" s="21" t="n"/>
      <c r="Q1045" s="21" t="n"/>
      <c r="T1045" s="21" t="n"/>
      <c r="U1045" s="21" t="n"/>
      <c r="V1045" s="21" t="n"/>
      <c r="W1045" s="21" t="n"/>
      <c r="X1045" s="21" t="n"/>
    </row>
    <row r="1046">
      <c r="A1046" s="21" t="n"/>
      <c r="B1046" s="21" t="n"/>
      <c r="C1046" s="21" t="n"/>
      <c r="D1046" s="21" t="n"/>
      <c r="E1046" s="21" t="n"/>
      <c r="F1046" s="21" t="n"/>
      <c r="G1046" s="21" t="n"/>
      <c r="H1046" s="21" t="n"/>
      <c r="I1046" s="21" t="n"/>
      <c r="J1046" s="21" t="n"/>
      <c r="K1046" s="21" t="n"/>
      <c r="L1046" s="21" t="n"/>
      <c r="M1046" s="21" t="n"/>
      <c r="N1046" s="21" t="n"/>
      <c r="O1046" s="21" t="n"/>
      <c r="P1046" s="21" t="n"/>
      <c r="Q1046" s="21" t="n"/>
      <c r="T1046" s="21" t="n"/>
      <c r="U1046" s="21" t="n"/>
      <c r="V1046" s="21" t="n"/>
      <c r="W1046" s="21" t="n"/>
      <c r="X1046" s="21" t="n"/>
    </row>
    <row r="1047">
      <c r="A1047" s="21" t="n"/>
      <c r="B1047" s="21" t="n"/>
      <c r="C1047" s="21" t="n"/>
      <c r="D1047" s="21" t="n"/>
      <c r="E1047" s="21" t="n"/>
      <c r="F1047" s="21" t="n"/>
      <c r="G1047" s="21" t="n"/>
      <c r="H1047" s="21" t="n"/>
      <c r="I1047" s="21" t="n"/>
      <c r="J1047" s="21" t="n"/>
      <c r="K1047" s="21" t="n"/>
      <c r="L1047" s="21" t="n"/>
      <c r="M1047" s="21" t="n"/>
      <c r="N1047" s="21" t="n"/>
      <c r="O1047" s="21" t="n"/>
      <c r="P1047" s="21" t="n"/>
      <c r="Q1047" s="21" t="n"/>
      <c r="T1047" s="21" t="n"/>
      <c r="U1047" s="21" t="n"/>
      <c r="V1047" s="21" t="n"/>
      <c r="W1047" s="21" t="n"/>
      <c r="X1047" s="21" t="n"/>
    </row>
  </sheetData>
  <dataValidations count="1">
    <dataValidation sqref="A2:A9 A11:A307" showDropDown="0" showInputMessage="0" showErrorMessage="0" allowBlank="1" type="list">
      <formula1>"resource,logistics,use,business,sale,service,reverse,recovery"</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F2"/>
  <sheetViews>
    <sheetView workbookViewId="0">
      <selection activeCell="A1" sqref="A1"/>
    </sheetView>
  </sheetViews>
  <sheetFormatPr baseColWidth="8" defaultColWidth="12.63" defaultRowHeight="15.75" customHeight="1"/>
  <cols>
    <col width="17.25" customWidth="1" style="76" min="2" max="2"/>
  </cols>
  <sheetData>
    <row r="1">
      <c r="A1" s="75" t="inlineStr">
        <is>
          <t>max</t>
        </is>
      </c>
      <c r="B1" s="75" t="inlineStr">
        <is>
          <t>stats_maintenance_x2</t>
        </is>
      </c>
      <c r="C1" s="75" t="inlineStr">
        <is>
          <t>stats_reuse_x2</t>
        </is>
      </c>
      <c r="D1" s="75" t="inlineStr">
        <is>
          <t>stats_refurbishment_x2</t>
        </is>
      </c>
      <c r="E1" s="75" t="inlineStr">
        <is>
          <t>stats_remanufacturing_x2</t>
        </is>
      </c>
      <c r="F1" s="75" t="inlineStr">
        <is>
          <t>stats_recycle_x2</t>
        </is>
      </c>
    </row>
    <row r="2">
      <c r="A2" s="0">
        <f>MAX(Maintenance!B:B,Reuse!B:B,Refurbishment!B:B,Remanufacturing!B:B,Recycle!B:B)</f>
        <v/>
      </c>
      <c r="B2" s="0">
        <f>IFERROR(__xludf.DUMMYFUNCTION("JOIN("","",UNIQUE(Maintenance!$D$11:$D$10041))"),"Df Circular Product Architecture,Df Collaborative Logistics,Df Behavioural Change,Df Inspection,Df Minimize,Df Collaborative Maintenance,Df Maintenance,Df Upgradability,Df Refill,Df Upcycling,")</f>
        <v/>
      </c>
      <c r="C2" s="0">
        <f>IFERROR(__xludf.DUMMYFUNCTION("JOIN("","",UNIQUE(Reuse!$D$2:$D$10005))"),"Df Circular Business Model,Df Sustainable Business Model,Df Local Network,Df Sustainable Production,Df Used Product Management,Df Circular Product Architecture,Df Sustainable Forward Logistic,Df Collaborative Logistics,Df Circular Purchase Behavior,Df Sus"&amp;"tainable Behaviour,Df Green marketing,Design for Packaging Reuse,Df Behavioural Change,Df Maintainability,Df Closed-loop Reverse Supply Chain,Df Open-loop Reverse Supply Chain,Df Cleaning ,Df Reuse,Df Upcycling,")</f>
        <v/>
      </c>
      <c r="D2" s="0">
        <f>IFERROR(__xludf.DUMMYFUNCTION("JOIN("","",UNIQUE(Refurbishment!$D$2:$D$10010))"),"Df Recovery,Df Closed-loop Reverse Supply Chain,Df Sustainable Behaviour,Df Behavioural Change,Df Refurbishment,Df Non-Destructive Disassembly,Df Semi-Destructive Disassembly,")</f>
        <v/>
      </c>
      <c r="E2" s="0">
        <f>IFERROR(__xludf.DUMMYFUNCTION("JOIN("","",UNIQUE(Remanufacturing!$D$2:$D$10042))"),"Df Remanufacturing,Df Circular Business Model,Df Closed-loop Reverse Supply Chain,Df Non-Destructive Disassembly,Df Semi-Destructive Disassembly,Df Maintenance,Df Modular Components,")</f>
        <v/>
      </c>
      <c r="F2" s="0">
        <f>IFERROR(__xludf.DUMMYFUNCTION("JOIN("","",UNIQUE(Recycle!$D$10:$D$10046))"),"Df Closed-loop Reverse Supply Chain,Df Non-Destructive Disassembly,Df Semi-Destructive Disassembly,Df Recycle,")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2026-04-04T17:03:47Z</dcterms:created>
  <dcterms:modified xmlns:dcterms="http://purl.org/dc/terms/" xmlns:xsi="http://www.w3.org/2001/XMLSchema-instance" xsi:type="dcterms:W3CDTF">2026-04-04T18:41:00Z</dcterms:modified>
</cp:coreProperties>
</file>